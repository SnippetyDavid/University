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AgileProject\"/>
    </mc:Choice>
  </mc:AlternateContent>
  <bookViews>
    <workbookView xWindow="0" yWindow="0" windowWidth="28800" windowHeight="12435" activeTab="1"/>
  </bookViews>
  <sheets>
    <sheet name="Planning" sheetId="4" r:id="rId1"/>
    <sheet name="Sprint Backlog" sheetId="5" r:id="rId2"/>
    <sheet name="Team Burndown" sheetId="8" r:id="rId3"/>
    <sheet name="Team Member Burndown" sheetId="7" r:id="rId4"/>
    <sheet name="Calculations" sheetId="6" state="hidden" r:id="rId5"/>
  </sheets>
  <functionGroups builtInGroupCount="18"/>
  <definedNames>
    <definedName name="_xlnm._FilterDatabase" localSheetId="0" hidden="1">Planning!#REF!</definedName>
    <definedName name="_xlnm._FilterDatabase" localSheetId="1" hidden="1">'Sprint Backlog'!$3:$4</definedName>
    <definedName name="ActualTrendSeriesData">Calculations!$G$10:$M$10,Calculations!$O$10:$R$10</definedName>
    <definedName name="billybob" localSheetId="4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1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3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urnOutDataRange" localSheetId="1">'Sprint Backlog'!#REF!</definedName>
    <definedName name="CurrentDateForCalculations">Calculations!$B$4</definedName>
    <definedName name="CurrentDay">Calculations!$R$7</definedName>
    <definedName name="CurrentTrendBurnRate">Calculations!$G$9</definedName>
    <definedName name="DatesSeriesData">Calculations!$G$3:$M$3,Calculations!$O$3:$S$3</definedName>
    <definedName name="DayIsPartOfSprint" localSheetId="4">Calculations!#REF!</definedName>
    <definedName name="DayIsPartOfSprint">Calculations!#REF!</definedName>
    <definedName name="EffortRemainingSeriesData">Calculations!$G$7:$M$7,Calculations!$O$7:$S$7</definedName>
    <definedName name="FirstCalendarDayOfSprint">Calculations!$H$3</definedName>
    <definedName name="IndividualBurndownChartNoteCell">'Team Member Burndown'!$A$41</definedName>
    <definedName name="IndividualBurndownChartTopLeftCell">'Team Member Burndown'!$A$19</definedName>
    <definedName name="IndividualBurndownSeries1">'Team Member Burndown'!$B$6:$G$6,'Team Member Burndown'!$J$6:$N$6</definedName>
    <definedName name="IndividualBurndownSeries10">'Team Member Burndown'!$B$15:$G$15,'Team Member Burndown'!$J$15:$N$15</definedName>
    <definedName name="IndividualBurndownSeries2">'Team Member Burndown'!$B$7:$G$7,'Team Member Burndown'!$J$7:$N$7</definedName>
    <definedName name="IndividualBurndownSeries3">'Team Member Burndown'!$B$8:$G$8,'Team Member Burndown'!$J$8:$N$8</definedName>
    <definedName name="IndividualBurndownSeries4">'Team Member Burndown'!$B$9:$G$9,'Team Member Burndown'!$J$9:$N$9</definedName>
    <definedName name="IndividualBurndownSeries5">'Team Member Burndown'!$B$10:$G$10,'Team Member Burndown'!$J$10:$N$10</definedName>
    <definedName name="IndividualBurndownSeries6">'Team Member Burndown'!$B$11:$G$11,'Team Member Burndown'!$J$11:$N$11</definedName>
    <definedName name="IndividualBurndownSeries7">'Team Member Burndown'!$B$12:$G$12,'Team Member Burndown'!$J$12:$N$12</definedName>
    <definedName name="IndividualBurndownSeries8">'Team Member Burndown'!$B$13:$G$13,'Team Member Burndown'!$J$13:$N$13</definedName>
    <definedName name="IndividualBurndownSeries9">'Team Member Burndown'!$B$14:$G$14,'Team Member Burndown'!$J$14:$N$14</definedName>
    <definedName name="IndividualBurndownSeriesDates" localSheetId="3">( 'Team Member Burndown'!$B$5:$B$5 )</definedName>
    <definedName name="IndividualBurndownSeriesDates">( 'Team Member Burndown'!$B$5:$B$5 )</definedName>
    <definedName name="IndividualBurndownTeamSlots">'Team Member Burndown'!$A$6:$A$15</definedName>
    <definedName name="LastSprintDayCalculations">Calculations!$S$4</definedName>
    <definedName name="LastSprintDayIndividualBurndown">'Team Member Burndown'!$N$4</definedName>
    <definedName name="LastSprintDaySprintBacklog">'Sprint Backlog'!$S$1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NumberOfCalendarDaysInSprint" localSheetId="4">Planning!$E$5</definedName>
    <definedName name="NumberOfCalendarDaysInSprint" localSheetId="3">Planning!$E$5</definedName>
    <definedName name="NumberOfCalendarDaysInSprint">Planning!$E$5</definedName>
    <definedName name="NumberOfNonWorkingDaysInSprint">Calculations!$B$11</definedName>
    <definedName name="NumberOfWorkHoursInDay" localSheetId="3">Planning!$K$5</definedName>
    <definedName name="NumberOfWorkHoursInDay">Planning!$K$5</definedName>
    <definedName name="NumberOfWorkingDaysInSprint" localSheetId="4">Calculations!$B$12</definedName>
    <definedName name="NumberOfWorkingDaysInSprint">Calculations!$B$12</definedName>
    <definedName name="OptimalBurndownPathSeriesData">Calculations!$G$12:$M$12,Calculations!$O$12:$S$12</definedName>
    <definedName name="OptimalBurndownPathTrendSeriesData">Calculations!$G$14:$M$14,Calculations!$O$14:$S$14</definedName>
    <definedName name="OptimalDailyBurndownPathSeriesData" localSheetId="4">Calculations!$G$12,Calculations!$I$12:$J$12,Calculations!#REF!</definedName>
    <definedName name="OptimalDailyBurndownPathSeriesData">Calculations!$G$12,Calculations!$I$12:$J$12,Calculations!#REF!</definedName>
    <definedName name="OptimisticProjectionAccuracyMessage">Calculations!$B$25</definedName>
    <definedName name="OptimisticProjectionBurnRate">Calculations!$B$21</definedName>
    <definedName name="OptimisticProjectionEndDate">Calculations!$B$7</definedName>
    <definedName name="OptimisticProjectionSeriesData">Calculations!$G$16:$M$16,Calculations!$O$16:$S$16</definedName>
    <definedName name="OptimisticProjectionSprintDuration">Calculations!$B$22</definedName>
    <definedName name="OptimisticProjectionVarianceDays">Calculations!$B$23</definedName>
    <definedName name="OptimisticProjectionVariancePercent">Calculations!$B$24</definedName>
    <definedName name="PessimisticProjectionAccuracyMessage">Calculations!$B$19</definedName>
    <definedName name="PessimisticProjectionBurnRate">Calculations!$B$15</definedName>
    <definedName name="PessimisticProjectionEndDate">Calculations!$B$6</definedName>
    <definedName name="PessimisticProjectionSeriesData">Calculations!$G$17:$M$17,Calculations!$O$17:$S$17</definedName>
    <definedName name="PessimisticProjectionSprintDuration">Calculations!$B$16</definedName>
    <definedName name="PessimisticProjectionVarianceDays">Calculations!$B$17</definedName>
    <definedName name="PessimisticProjectionVariancePercent">Calculations!$B$18</definedName>
    <definedName name="PlannedEndDate">Calculations!$B$5</definedName>
    <definedName name="PlannedTrendBurnRate">Calculations!$B$13</definedName>
    <definedName name="_xlnm.Print_Titles" localSheetId="1">'Sprint Backlog'!$1:$3</definedName>
    <definedName name="ProgressStatusMessage">Calculations!$B$9</definedName>
    <definedName name="ProjectionsMinPercentageCompletion">Calculations!$B$48</definedName>
    <definedName name="ProjectionsMinWorkDayCompletion">Calculations!$B$49</definedName>
    <definedName name="SprintBacklogAllBurndownEnteredForCurrentDay">'Sprint Backlog'!$B$3</definedName>
    <definedName name="SprintBacklogUseDropDownListForTaskOwners">'Sprint Backlog'!$A$3</definedName>
    <definedName name="SprintStartDate" localSheetId="4">Planning!$C$5</definedName>
    <definedName name="SprintStartDate" localSheetId="1">Planning!$C$5</definedName>
    <definedName name="SprintStartDate" localSheetId="3">Planning!$C$5</definedName>
    <definedName name="SprintStartDate">Planning!$C$5</definedName>
    <definedName name="TasksRemainingSeriesData">Calculations!$G$19:$M$19,Calculations!$O$19:$S$19</definedName>
    <definedName name="TeamMembersAvailability">Planning!$A$19:$L$31</definedName>
    <definedName name="TeamMembersInitials" localSheetId="1">Planning!$C$9</definedName>
    <definedName name="TeamMembersInitials">Planning!$C$9:$K$9</definedName>
    <definedName name="TeamSlots">Planning!$C$8:$L$8</definedName>
    <definedName name="TotalAssignedWork">Calculations!$G$7</definedName>
    <definedName name="WorksheetTitleCalculations">Calculations!$A$46</definedName>
    <definedName name="WorksheetTitlePlanning" localSheetId="4">Calculations!$A$42</definedName>
    <definedName name="WorksheetTitlePlanning">Calculations!$A$42</definedName>
    <definedName name="WorksheetTitleSprintBacklog">Calculations!$A$43</definedName>
    <definedName name="WorksheetTitleTeamBurndown">Calculations!$A$44</definedName>
    <definedName name="WorksheetTitleTeamMemberBurndown">Calculations!$A$45</definedName>
  </definedNames>
  <calcPr calcId="152511"/>
</workbook>
</file>

<file path=xl/calcChain.xml><?xml version="1.0" encoding="utf-8"?>
<calcChain xmlns="http://schemas.openxmlformats.org/spreadsheetml/2006/main">
  <c r="I32" i="4" l="1"/>
  <c r="G32" i="4"/>
  <c r="F32" i="4"/>
  <c r="E32" i="4"/>
  <c r="D32" i="4"/>
  <c r="C4" i="7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J19" i="4"/>
  <c r="S22" i="6"/>
  <c r="R22" i="6"/>
  <c r="Q22" i="6"/>
  <c r="P22" i="6"/>
  <c r="O22" i="6"/>
  <c r="N22" i="6"/>
  <c r="M22" i="6"/>
  <c r="L22" i="6"/>
  <c r="K22" i="6"/>
  <c r="J22" i="6"/>
  <c r="I22" i="6"/>
  <c r="H22" i="6"/>
  <c r="S21" i="6"/>
  <c r="R21" i="6"/>
  <c r="Q21" i="6"/>
  <c r="P21" i="6"/>
  <c r="O21" i="6"/>
  <c r="N21" i="6"/>
  <c r="M21" i="6"/>
  <c r="L21" i="6"/>
  <c r="K21" i="6"/>
  <c r="J21" i="6"/>
  <c r="I21" i="6"/>
  <c r="H21" i="6"/>
  <c r="M15" i="7"/>
  <c r="D14" i="7"/>
  <c r="E15" i="7"/>
  <c r="B7" i="7"/>
  <c r="B13" i="7"/>
  <c r="G15" i="4"/>
  <c r="C15" i="7"/>
  <c r="B11" i="7"/>
  <c r="C13" i="7"/>
  <c r="B8" i="7"/>
  <c r="E15" i="4"/>
  <c r="B14" i="7"/>
  <c r="L15" i="7"/>
  <c r="F15" i="7"/>
  <c r="B6" i="7"/>
  <c r="G15" i="7"/>
  <c r="C15" i="4"/>
  <c r="B12" i="7"/>
  <c r="B15" i="7"/>
  <c r="J15" i="4"/>
  <c r="D15" i="4"/>
  <c r="H15" i="7"/>
  <c r="I15" i="4"/>
  <c r="N15" i="7"/>
  <c r="B10" i="7"/>
  <c r="I15" i="7"/>
  <c r="F15" i="4"/>
  <c r="K15" i="4"/>
  <c r="B9" i="7"/>
  <c r="J15" i="7"/>
  <c r="K15" i="7"/>
  <c r="D15" i="7"/>
  <c r="H15" i="4"/>
  <c r="H10" i="5" l="1"/>
  <c r="I12" i="5"/>
  <c r="J12" i="5" s="1"/>
  <c r="M12" i="5" s="1"/>
  <c r="N12" i="5" s="1"/>
  <c r="O12" i="5" s="1"/>
  <c r="P12" i="5" s="1"/>
  <c r="Q12" i="5" s="1"/>
  <c r="R12" i="5" s="1"/>
  <c r="S12" i="5" s="1"/>
  <c r="I13" i="5"/>
  <c r="E14" i="7"/>
  <c r="C14" i="7"/>
  <c r="G3" i="5"/>
  <c r="K10" i="5" l="1"/>
  <c r="B16" i="7"/>
  <c r="H27" i="5"/>
  <c r="I27" i="5" s="1"/>
  <c r="J27" i="5" s="1"/>
  <c r="K27" i="5" s="1"/>
  <c r="L27" i="5" s="1"/>
  <c r="M27" i="5" s="1"/>
  <c r="N27" i="5" s="1"/>
  <c r="O27" i="5" s="1"/>
  <c r="P27" i="5" s="1"/>
  <c r="Q27" i="5" s="1"/>
  <c r="R27" i="5" s="1"/>
  <c r="S27" i="5" s="1"/>
  <c r="H15" i="5"/>
  <c r="H26" i="5"/>
  <c r="I26" i="5" s="1"/>
  <c r="J26" i="5" s="1"/>
  <c r="K26" i="5" s="1"/>
  <c r="L26" i="5" s="1"/>
  <c r="M26" i="5" s="1"/>
  <c r="N26" i="5" s="1"/>
  <c r="O26" i="5" s="1"/>
  <c r="P26" i="5" s="1"/>
  <c r="Q26" i="5" s="1"/>
  <c r="R26" i="5" s="1"/>
  <c r="S26" i="5" s="1"/>
  <c r="H24" i="5"/>
  <c r="J24" i="5" s="1"/>
  <c r="K24" i="5" s="1"/>
  <c r="L24" i="5" s="1"/>
  <c r="M24" i="5" s="1"/>
  <c r="N24" i="5" s="1"/>
  <c r="O24" i="5" s="1"/>
  <c r="P24" i="5" s="1"/>
  <c r="R24" i="5" s="1"/>
  <c r="S24" i="5" s="1"/>
  <c r="H22" i="5"/>
  <c r="I22" i="5" s="1"/>
  <c r="J22" i="5" s="1"/>
  <c r="L22" i="5" s="1"/>
  <c r="M22" i="5" s="1"/>
  <c r="N22" i="5" s="1"/>
  <c r="O22" i="5" s="1"/>
  <c r="P22" i="5" s="1"/>
  <c r="Q22" i="5" s="1"/>
  <c r="R22" i="5" s="1"/>
  <c r="S22" i="5" s="1"/>
  <c r="J20" i="5"/>
  <c r="L20" i="5" s="1"/>
  <c r="M20" i="5" s="1"/>
  <c r="N20" i="5" s="1"/>
  <c r="O20" i="5" s="1"/>
  <c r="P20" i="5" s="1"/>
  <c r="Q20" i="5" s="1"/>
  <c r="R20" i="5" s="1"/>
  <c r="S20" i="5" s="1"/>
  <c r="H5" i="5"/>
  <c r="I5" i="5" s="1"/>
  <c r="J5" i="5" s="1"/>
  <c r="K5" i="5" s="1"/>
  <c r="L5" i="5" s="1"/>
  <c r="M5" i="5" s="1"/>
  <c r="N5" i="5" s="1"/>
  <c r="O5" i="5" s="1"/>
  <c r="P5" i="5" s="1"/>
  <c r="Q5" i="5" s="1"/>
  <c r="R5" i="5" s="1"/>
  <c r="S5" i="5" s="1"/>
  <c r="H6" i="5"/>
  <c r="I6" i="5" s="1"/>
  <c r="J6" i="5" s="1"/>
  <c r="K6" i="5" s="1"/>
  <c r="L6" i="5" s="1"/>
  <c r="M6" i="5" s="1"/>
  <c r="N6" i="5" s="1"/>
  <c r="O6" i="5" s="1"/>
  <c r="P6" i="5" s="1"/>
  <c r="Q6" i="5" s="1"/>
  <c r="R6" i="5" s="1"/>
  <c r="S6" i="5" s="1"/>
  <c r="I11" i="5"/>
  <c r="F14" i="7"/>
  <c r="D13" i="7"/>
  <c r="I15" i="5" l="1"/>
  <c r="L10" i="5"/>
  <c r="K13" i="5"/>
  <c r="J11" i="5"/>
  <c r="I7" i="5"/>
  <c r="E13" i="7"/>
  <c r="G14" i="7"/>
  <c r="L29" i="4"/>
  <c r="L28" i="4"/>
  <c r="L24" i="4"/>
  <c r="L23" i="4"/>
  <c r="L25" i="4"/>
  <c r="L26" i="4"/>
  <c r="L27" i="4"/>
  <c r="L30" i="4"/>
  <c r="L31" i="4"/>
  <c r="J15" i="5" l="1"/>
  <c r="M10" i="5"/>
  <c r="K11" i="5"/>
  <c r="K8" i="5"/>
  <c r="K9" i="5"/>
  <c r="A21" i="4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B20" i="4"/>
  <c r="B21" i="4" s="1"/>
  <c r="B22" i="4" s="1"/>
  <c r="B23" i="4" s="1"/>
  <c r="L19" i="4"/>
  <c r="K19" i="4"/>
  <c r="I19" i="4"/>
  <c r="H19" i="4"/>
  <c r="G19" i="4"/>
  <c r="F19" i="4"/>
  <c r="E19" i="4"/>
  <c r="D19" i="4"/>
  <c r="C19" i="4"/>
  <c r="L13" i="4"/>
  <c r="L12" i="4"/>
  <c r="K13" i="4"/>
  <c r="K12" i="4"/>
  <c r="J13" i="4"/>
  <c r="J12" i="4"/>
  <c r="I13" i="4"/>
  <c r="I12" i="4"/>
  <c r="H13" i="4"/>
  <c r="H12" i="4"/>
  <c r="G13" i="4"/>
  <c r="G12" i="4"/>
  <c r="F13" i="4"/>
  <c r="F12" i="4"/>
  <c r="E13" i="4"/>
  <c r="E12" i="4"/>
  <c r="D13" i="4"/>
  <c r="D12" i="4"/>
  <c r="C13" i="4"/>
  <c r="C12" i="4"/>
  <c r="H14" i="5"/>
  <c r="H16" i="5"/>
  <c r="H17" i="5"/>
  <c r="H18" i="5"/>
  <c r="I18" i="5" s="1"/>
  <c r="J18" i="5" s="1"/>
  <c r="K18" i="5" s="1"/>
  <c r="M18" i="5" s="1"/>
  <c r="N18" i="5" s="1"/>
  <c r="P18" i="5" s="1"/>
  <c r="Q18" i="5" s="1"/>
  <c r="R18" i="5" s="1"/>
  <c r="S18" i="5" s="1"/>
  <c r="H21" i="5"/>
  <c r="H23" i="5"/>
  <c r="I23" i="5" s="1"/>
  <c r="H25" i="5"/>
  <c r="H28" i="5"/>
  <c r="I28" i="5" s="1"/>
  <c r="J28" i="5" s="1"/>
  <c r="K28" i="5" s="1"/>
  <c r="L28" i="5" s="1"/>
  <c r="M28" i="5" s="1"/>
  <c r="N28" i="5" s="1"/>
  <c r="O28" i="5" s="1"/>
  <c r="P28" i="5" s="1"/>
  <c r="Q28" i="5" s="1"/>
  <c r="R28" i="5" s="1"/>
  <c r="S28" i="5" s="1"/>
  <c r="H29" i="5"/>
  <c r="H30" i="5"/>
  <c r="I30" i="5" s="1"/>
  <c r="J30" i="5" s="1"/>
  <c r="K30" i="5" s="1"/>
  <c r="L30" i="5" s="1"/>
  <c r="M30" i="5" s="1"/>
  <c r="N30" i="5" s="1"/>
  <c r="O30" i="5" s="1"/>
  <c r="P30" i="5" s="1"/>
  <c r="Q30" i="5" s="1"/>
  <c r="R30" i="5" s="1"/>
  <c r="S30" i="5" s="1"/>
  <c r="H31" i="5"/>
  <c r="I31" i="5" s="1"/>
  <c r="J31" i="5" s="1"/>
  <c r="K31" i="5" s="1"/>
  <c r="L31" i="5" s="1"/>
  <c r="M31" i="5" s="1"/>
  <c r="N31" i="5" s="1"/>
  <c r="O31" i="5" s="1"/>
  <c r="P31" i="5" s="1"/>
  <c r="Q31" i="5" s="1"/>
  <c r="R31" i="5" s="1"/>
  <c r="S31" i="5" s="1"/>
  <c r="H32" i="5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H33" i="5"/>
  <c r="I33" i="5" s="1"/>
  <c r="J33" i="5" s="1"/>
  <c r="K33" i="5" s="1"/>
  <c r="L33" i="5" s="1"/>
  <c r="M33" i="5" s="1"/>
  <c r="N33" i="5" s="1"/>
  <c r="O33" i="5" s="1"/>
  <c r="P33" i="5" s="1"/>
  <c r="Q33" i="5" s="1"/>
  <c r="R33" i="5" s="1"/>
  <c r="S33" i="5" s="1"/>
  <c r="H34" i="5"/>
  <c r="I34" i="5" s="1"/>
  <c r="J34" i="5" s="1"/>
  <c r="K34" i="5" s="1"/>
  <c r="L34" i="5" s="1"/>
  <c r="M34" i="5" s="1"/>
  <c r="N34" i="5" s="1"/>
  <c r="O34" i="5" s="1"/>
  <c r="P34" i="5" s="1"/>
  <c r="Q34" i="5" s="1"/>
  <c r="R34" i="5" s="1"/>
  <c r="S34" i="5" s="1"/>
  <c r="H35" i="5"/>
  <c r="I35" i="5" s="1"/>
  <c r="J35" i="5" s="1"/>
  <c r="K35" i="5" s="1"/>
  <c r="L35" i="5" s="1"/>
  <c r="M35" i="5" s="1"/>
  <c r="N35" i="5" s="1"/>
  <c r="O35" i="5" s="1"/>
  <c r="P35" i="5" s="1"/>
  <c r="Q35" i="5" s="1"/>
  <c r="R35" i="5" s="1"/>
  <c r="S35" i="5" s="1"/>
  <c r="H36" i="5"/>
  <c r="I36" i="5" s="1"/>
  <c r="J36" i="5" s="1"/>
  <c r="K36" i="5" s="1"/>
  <c r="L36" i="5" s="1"/>
  <c r="M36" i="5" s="1"/>
  <c r="N36" i="5" s="1"/>
  <c r="O36" i="5" s="1"/>
  <c r="P36" i="5" s="1"/>
  <c r="Q36" i="5" s="1"/>
  <c r="R36" i="5" s="1"/>
  <c r="S36" i="5" s="1"/>
  <c r="H37" i="5"/>
  <c r="I37" i="5" s="1"/>
  <c r="J37" i="5" s="1"/>
  <c r="K37" i="5" s="1"/>
  <c r="L37" i="5" s="1"/>
  <c r="M37" i="5" s="1"/>
  <c r="N37" i="5" s="1"/>
  <c r="O37" i="5" s="1"/>
  <c r="P37" i="5" s="1"/>
  <c r="Q37" i="5" s="1"/>
  <c r="R37" i="5" s="1"/>
  <c r="S37" i="5" s="1"/>
  <c r="H38" i="5"/>
  <c r="I38" i="5" s="1"/>
  <c r="J38" i="5" s="1"/>
  <c r="K38" i="5" s="1"/>
  <c r="L38" i="5" s="1"/>
  <c r="M38" i="5" s="1"/>
  <c r="N38" i="5" s="1"/>
  <c r="O38" i="5" s="1"/>
  <c r="P38" i="5" s="1"/>
  <c r="Q38" i="5" s="1"/>
  <c r="R38" i="5" s="1"/>
  <c r="S38" i="5" s="1"/>
  <c r="H39" i="5"/>
  <c r="I39" i="5" s="1"/>
  <c r="J39" i="5" s="1"/>
  <c r="K39" i="5" s="1"/>
  <c r="L39" i="5" s="1"/>
  <c r="M39" i="5" s="1"/>
  <c r="N39" i="5" s="1"/>
  <c r="O39" i="5" s="1"/>
  <c r="P39" i="5" s="1"/>
  <c r="Q39" i="5" s="1"/>
  <c r="R39" i="5" s="1"/>
  <c r="S39" i="5" s="1"/>
  <c r="H40" i="5"/>
  <c r="I40" i="5" s="1"/>
  <c r="J40" i="5" s="1"/>
  <c r="K40" i="5" s="1"/>
  <c r="L40" i="5" s="1"/>
  <c r="M40" i="5" s="1"/>
  <c r="N40" i="5" s="1"/>
  <c r="O40" i="5" s="1"/>
  <c r="P40" i="5" s="1"/>
  <c r="Q40" i="5" s="1"/>
  <c r="R40" i="5" s="1"/>
  <c r="S40" i="5" s="1"/>
  <c r="H41" i="5"/>
  <c r="I41" i="5" s="1"/>
  <c r="J41" i="5" s="1"/>
  <c r="K41" i="5" s="1"/>
  <c r="L41" i="5" s="1"/>
  <c r="M41" i="5" s="1"/>
  <c r="N41" i="5" s="1"/>
  <c r="O41" i="5" s="1"/>
  <c r="P41" i="5" s="1"/>
  <c r="Q41" i="5" s="1"/>
  <c r="R41" i="5" s="1"/>
  <c r="S41" i="5" s="1"/>
  <c r="H42" i="5"/>
  <c r="I42" i="5" s="1"/>
  <c r="J42" i="5" s="1"/>
  <c r="K42" i="5" s="1"/>
  <c r="L42" i="5" s="1"/>
  <c r="M42" i="5" s="1"/>
  <c r="N42" i="5" s="1"/>
  <c r="O42" i="5" s="1"/>
  <c r="P42" i="5" s="1"/>
  <c r="Q42" i="5" s="1"/>
  <c r="R42" i="5" s="1"/>
  <c r="S42" i="5" s="1"/>
  <c r="H43" i="5"/>
  <c r="I43" i="5" s="1"/>
  <c r="J43" i="5" s="1"/>
  <c r="K43" i="5" s="1"/>
  <c r="L43" i="5" s="1"/>
  <c r="M43" i="5" s="1"/>
  <c r="N43" i="5" s="1"/>
  <c r="O43" i="5" s="1"/>
  <c r="P43" i="5" s="1"/>
  <c r="Q43" i="5" s="1"/>
  <c r="R43" i="5" s="1"/>
  <c r="S43" i="5" s="1"/>
  <c r="H44" i="5"/>
  <c r="I44" i="5" s="1"/>
  <c r="J44" i="5" s="1"/>
  <c r="K44" i="5" s="1"/>
  <c r="L44" i="5" s="1"/>
  <c r="M44" i="5" s="1"/>
  <c r="N44" i="5" s="1"/>
  <c r="O44" i="5" s="1"/>
  <c r="P44" i="5" s="1"/>
  <c r="Q44" i="5" s="1"/>
  <c r="R44" i="5" s="1"/>
  <c r="S44" i="5" s="1"/>
  <c r="H45" i="5"/>
  <c r="I45" i="5" s="1"/>
  <c r="J45" i="5" s="1"/>
  <c r="K45" i="5" s="1"/>
  <c r="L45" i="5" s="1"/>
  <c r="M45" i="5" s="1"/>
  <c r="N45" i="5" s="1"/>
  <c r="O45" i="5" s="1"/>
  <c r="P45" i="5" s="1"/>
  <c r="Q45" i="5" s="1"/>
  <c r="R45" i="5" s="1"/>
  <c r="S45" i="5" s="1"/>
  <c r="H46" i="5"/>
  <c r="I46" i="5" s="1"/>
  <c r="J46" i="5" s="1"/>
  <c r="K46" i="5" s="1"/>
  <c r="L46" i="5" s="1"/>
  <c r="M46" i="5" s="1"/>
  <c r="N46" i="5" s="1"/>
  <c r="O46" i="5" s="1"/>
  <c r="P46" i="5" s="1"/>
  <c r="Q46" i="5" s="1"/>
  <c r="R46" i="5" s="1"/>
  <c r="S46" i="5" s="1"/>
  <c r="H47" i="5"/>
  <c r="I47" i="5" s="1"/>
  <c r="J47" i="5" s="1"/>
  <c r="K47" i="5" s="1"/>
  <c r="L47" i="5" s="1"/>
  <c r="M47" i="5" s="1"/>
  <c r="N47" i="5" s="1"/>
  <c r="O47" i="5" s="1"/>
  <c r="P47" i="5" s="1"/>
  <c r="Q47" i="5" s="1"/>
  <c r="R47" i="5" s="1"/>
  <c r="S47" i="5" s="1"/>
  <c r="H48" i="5"/>
  <c r="I48" i="5" s="1"/>
  <c r="J48" i="5" s="1"/>
  <c r="K48" i="5" s="1"/>
  <c r="L48" i="5" s="1"/>
  <c r="M48" i="5" s="1"/>
  <c r="N48" i="5" s="1"/>
  <c r="O48" i="5" s="1"/>
  <c r="P48" i="5" s="1"/>
  <c r="Q48" i="5" s="1"/>
  <c r="R48" i="5" s="1"/>
  <c r="S48" i="5" s="1"/>
  <c r="H49" i="5"/>
  <c r="I49" i="5" s="1"/>
  <c r="J49" i="5" s="1"/>
  <c r="K49" i="5" s="1"/>
  <c r="L49" i="5" s="1"/>
  <c r="M49" i="5" s="1"/>
  <c r="N49" i="5" s="1"/>
  <c r="O49" i="5" s="1"/>
  <c r="P49" i="5" s="1"/>
  <c r="Q49" i="5" s="1"/>
  <c r="R49" i="5" s="1"/>
  <c r="S49" i="5" s="1"/>
  <c r="H50" i="5"/>
  <c r="I50" i="5" s="1"/>
  <c r="J50" i="5" s="1"/>
  <c r="K50" i="5" s="1"/>
  <c r="L50" i="5" s="1"/>
  <c r="M50" i="5" s="1"/>
  <c r="N50" i="5" s="1"/>
  <c r="O50" i="5" s="1"/>
  <c r="P50" i="5" s="1"/>
  <c r="Q50" i="5" s="1"/>
  <c r="R50" i="5" s="1"/>
  <c r="S50" i="5" s="1"/>
  <c r="H51" i="5"/>
  <c r="I51" i="5" s="1"/>
  <c r="J51" i="5" s="1"/>
  <c r="K51" i="5" s="1"/>
  <c r="L51" i="5" s="1"/>
  <c r="M51" i="5" s="1"/>
  <c r="N51" i="5" s="1"/>
  <c r="O51" i="5" s="1"/>
  <c r="P51" i="5" s="1"/>
  <c r="Q51" i="5" s="1"/>
  <c r="R51" i="5" s="1"/>
  <c r="S51" i="5" s="1"/>
  <c r="H52" i="5"/>
  <c r="I52" i="5" s="1"/>
  <c r="J52" i="5" s="1"/>
  <c r="K52" i="5" s="1"/>
  <c r="L52" i="5" s="1"/>
  <c r="M52" i="5" s="1"/>
  <c r="N52" i="5" s="1"/>
  <c r="O52" i="5" s="1"/>
  <c r="P52" i="5" s="1"/>
  <c r="Q52" i="5" s="1"/>
  <c r="R52" i="5" s="1"/>
  <c r="S52" i="5" s="1"/>
  <c r="H53" i="5"/>
  <c r="I53" i="5" s="1"/>
  <c r="J53" i="5" s="1"/>
  <c r="K53" i="5" s="1"/>
  <c r="L53" i="5" s="1"/>
  <c r="M53" i="5" s="1"/>
  <c r="N53" i="5" s="1"/>
  <c r="O53" i="5" s="1"/>
  <c r="P53" i="5" s="1"/>
  <c r="Q53" i="5" s="1"/>
  <c r="R53" i="5" s="1"/>
  <c r="S53" i="5" s="1"/>
  <c r="H54" i="5"/>
  <c r="I54" i="5" s="1"/>
  <c r="J54" i="5" s="1"/>
  <c r="K54" i="5" s="1"/>
  <c r="L54" i="5" s="1"/>
  <c r="M54" i="5" s="1"/>
  <c r="N54" i="5" s="1"/>
  <c r="O54" i="5" s="1"/>
  <c r="P54" i="5" s="1"/>
  <c r="Q54" i="5" s="1"/>
  <c r="R54" i="5" s="1"/>
  <c r="S54" i="5" s="1"/>
  <c r="H55" i="5"/>
  <c r="I55" i="5" s="1"/>
  <c r="J55" i="5" s="1"/>
  <c r="K55" i="5" s="1"/>
  <c r="L55" i="5" s="1"/>
  <c r="M55" i="5" s="1"/>
  <c r="N55" i="5" s="1"/>
  <c r="O55" i="5" s="1"/>
  <c r="P55" i="5" s="1"/>
  <c r="Q55" i="5" s="1"/>
  <c r="R55" i="5" s="1"/>
  <c r="S55" i="5" s="1"/>
  <c r="H56" i="5"/>
  <c r="I56" i="5" s="1"/>
  <c r="J56" i="5" s="1"/>
  <c r="K56" i="5" s="1"/>
  <c r="L56" i="5" s="1"/>
  <c r="M56" i="5" s="1"/>
  <c r="N56" i="5" s="1"/>
  <c r="O56" i="5" s="1"/>
  <c r="P56" i="5" s="1"/>
  <c r="Q56" i="5" s="1"/>
  <c r="R56" i="5" s="1"/>
  <c r="S56" i="5" s="1"/>
  <c r="H57" i="5"/>
  <c r="I57" i="5" s="1"/>
  <c r="J57" i="5" s="1"/>
  <c r="K57" i="5" s="1"/>
  <c r="L57" i="5" s="1"/>
  <c r="M57" i="5" s="1"/>
  <c r="N57" i="5" s="1"/>
  <c r="O57" i="5" s="1"/>
  <c r="P57" i="5" s="1"/>
  <c r="Q57" i="5" s="1"/>
  <c r="R57" i="5" s="1"/>
  <c r="S57" i="5" s="1"/>
  <c r="H58" i="5"/>
  <c r="I58" i="5" s="1"/>
  <c r="J58" i="5" s="1"/>
  <c r="K58" i="5" s="1"/>
  <c r="L58" i="5" s="1"/>
  <c r="M58" i="5" s="1"/>
  <c r="N58" i="5" s="1"/>
  <c r="O58" i="5" s="1"/>
  <c r="P58" i="5" s="1"/>
  <c r="Q58" i="5" s="1"/>
  <c r="R58" i="5" s="1"/>
  <c r="S58" i="5" s="1"/>
  <c r="H59" i="5"/>
  <c r="I59" i="5" s="1"/>
  <c r="J59" i="5" s="1"/>
  <c r="K59" i="5" s="1"/>
  <c r="L59" i="5" s="1"/>
  <c r="M59" i="5" s="1"/>
  <c r="N59" i="5" s="1"/>
  <c r="O59" i="5" s="1"/>
  <c r="P59" i="5" s="1"/>
  <c r="Q59" i="5" s="1"/>
  <c r="R59" i="5" s="1"/>
  <c r="S59" i="5" s="1"/>
  <c r="H60" i="5"/>
  <c r="I60" i="5" s="1"/>
  <c r="J60" i="5" s="1"/>
  <c r="K60" i="5" s="1"/>
  <c r="L60" i="5" s="1"/>
  <c r="M60" i="5" s="1"/>
  <c r="N60" i="5" s="1"/>
  <c r="O60" i="5" s="1"/>
  <c r="P60" i="5" s="1"/>
  <c r="Q60" i="5" s="1"/>
  <c r="R60" i="5" s="1"/>
  <c r="S60" i="5" s="1"/>
  <c r="H61" i="5"/>
  <c r="I61" i="5" s="1"/>
  <c r="J61" i="5" s="1"/>
  <c r="K61" i="5" s="1"/>
  <c r="L61" i="5" s="1"/>
  <c r="M61" i="5" s="1"/>
  <c r="N61" i="5" s="1"/>
  <c r="O61" i="5" s="1"/>
  <c r="P61" i="5" s="1"/>
  <c r="Q61" i="5" s="1"/>
  <c r="R61" i="5" s="1"/>
  <c r="S61" i="5" s="1"/>
  <c r="H62" i="5"/>
  <c r="I62" i="5" s="1"/>
  <c r="J62" i="5" s="1"/>
  <c r="K62" i="5" s="1"/>
  <c r="L62" i="5" s="1"/>
  <c r="M62" i="5" s="1"/>
  <c r="N62" i="5" s="1"/>
  <c r="O62" i="5" s="1"/>
  <c r="P62" i="5" s="1"/>
  <c r="Q62" i="5" s="1"/>
  <c r="R62" i="5" s="1"/>
  <c r="S62" i="5" s="1"/>
  <c r="H63" i="5"/>
  <c r="I63" i="5" s="1"/>
  <c r="J63" i="5" s="1"/>
  <c r="K63" i="5" s="1"/>
  <c r="L63" i="5" s="1"/>
  <c r="M63" i="5" s="1"/>
  <c r="N63" i="5" s="1"/>
  <c r="O63" i="5" s="1"/>
  <c r="P63" i="5" s="1"/>
  <c r="Q63" i="5" s="1"/>
  <c r="R63" i="5" s="1"/>
  <c r="S63" i="5" s="1"/>
  <c r="H64" i="5"/>
  <c r="I64" i="5" s="1"/>
  <c r="J64" i="5" s="1"/>
  <c r="K64" i="5" s="1"/>
  <c r="L64" i="5" s="1"/>
  <c r="M64" i="5" s="1"/>
  <c r="N64" i="5" s="1"/>
  <c r="O64" i="5" s="1"/>
  <c r="P64" i="5" s="1"/>
  <c r="Q64" i="5" s="1"/>
  <c r="R64" i="5" s="1"/>
  <c r="S64" i="5" s="1"/>
  <c r="H65" i="5"/>
  <c r="I65" i="5" s="1"/>
  <c r="J65" i="5" s="1"/>
  <c r="K65" i="5" s="1"/>
  <c r="L65" i="5" s="1"/>
  <c r="M65" i="5" s="1"/>
  <c r="N65" i="5" s="1"/>
  <c r="O65" i="5" s="1"/>
  <c r="P65" i="5" s="1"/>
  <c r="Q65" i="5" s="1"/>
  <c r="R65" i="5" s="1"/>
  <c r="S65" i="5" s="1"/>
  <c r="H66" i="5"/>
  <c r="I66" i="5" s="1"/>
  <c r="J66" i="5" s="1"/>
  <c r="K66" i="5" s="1"/>
  <c r="L66" i="5" s="1"/>
  <c r="M66" i="5" s="1"/>
  <c r="N66" i="5" s="1"/>
  <c r="O66" i="5" s="1"/>
  <c r="P66" i="5" s="1"/>
  <c r="Q66" i="5" s="1"/>
  <c r="R66" i="5" s="1"/>
  <c r="S66" i="5" s="1"/>
  <c r="H67" i="5"/>
  <c r="I67" i="5" s="1"/>
  <c r="J67" i="5" s="1"/>
  <c r="K67" i="5" s="1"/>
  <c r="L67" i="5" s="1"/>
  <c r="M67" i="5" s="1"/>
  <c r="N67" i="5" s="1"/>
  <c r="O67" i="5" s="1"/>
  <c r="P67" i="5" s="1"/>
  <c r="Q67" i="5" s="1"/>
  <c r="R67" i="5" s="1"/>
  <c r="S67" i="5" s="1"/>
  <c r="H68" i="5"/>
  <c r="I68" i="5" s="1"/>
  <c r="J68" i="5" s="1"/>
  <c r="K68" i="5" s="1"/>
  <c r="L68" i="5" s="1"/>
  <c r="M68" i="5" s="1"/>
  <c r="N68" i="5" s="1"/>
  <c r="O68" i="5" s="1"/>
  <c r="P68" i="5" s="1"/>
  <c r="Q68" i="5" s="1"/>
  <c r="R68" i="5" s="1"/>
  <c r="S68" i="5" s="1"/>
  <c r="H69" i="5"/>
  <c r="I69" i="5" s="1"/>
  <c r="J69" i="5" s="1"/>
  <c r="K69" i="5" s="1"/>
  <c r="L69" i="5" s="1"/>
  <c r="M69" i="5" s="1"/>
  <c r="N69" i="5" s="1"/>
  <c r="O69" i="5" s="1"/>
  <c r="P69" i="5" s="1"/>
  <c r="Q69" i="5" s="1"/>
  <c r="R69" i="5" s="1"/>
  <c r="S69" i="5" s="1"/>
  <c r="H70" i="5"/>
  <c r="I70" i="5" s="1"/>
  <c r="J70" i="5" s="1"/>
  <c r="K70" i="5" s="1"/>
  <c r="L70" i="5" s="1"/>
  <c r="M70" i="5" s="1"/>
  <c r="N70" i="5" s="1"/>
  <c r="O70" i="5" s="1"/>
  <c r="P70" i="5" s="1"/>
  <c r="Q70" i="5" s="1"/>
  <c r="R70" i="5" s="1"/>
  <c r="S70" i="5" s="1"/>
  <c r="H71" i="5"/>
  <c r="I71" i="5" s="1"/>
  <c r="J71" i="5" s="1"/>
  <c r="K71" i="5" s="1"/>
  <c r="L71" i="5" s="1"/>
  <c r="M71" i="5" s="1"/>
  <c r="N71" i="5" s="1"/>
  <c r="O71" i="5" s="1"/>
  <c r="P71" i="5" s="1"/>
  <c r="Q71" i="5" s="1"/>
  <c r="R71" i="5" s="1"/>
  <c r="S71" i="5" s="1"/>
  <c r="H72" i="5"/>
  <c r="I72" i="5" s="1"/>
  <c r="J72" i="5" s="1"/>
  <c r="K72" i="5" s="1"/>
  <c r="L72" i="5" s="1"/>
  <c r="M72" i="5" s="1"/>
  <c r="N72" i="5" s="1"/>
  <c r="O72" i="5" s="1"/>
  <c r="P72" i="5" s="1"/>
  <c r="Q72" i="5" s="1"/>
  <c r="R72" i="5" s="1"/>
  <c r="S72" i="5" s="1"/>
  <c r="H73" i="5"/>
  <c r="I73" i="5" s="1"/>
  <c r="J73" i="5" s="1"/>
  <c r="K73" i="5" s="1"/>
  <c r="L73" i="5" s="1"/>
  <c r="M73" i="5" s="1"/>
  <c r="N73" i="5" s="1"/>
  <c r="O73" i="5" s="1"/>
  <c r="P73" i="5" s="1"/>
  <c r="Q73" i="5" s="1"/>
  <c r="R73" i="5" s="1"/>
  <c r="S73" i="5" s="1"/>
  <c r="H74" i="5"/>
  <c r="I74" i="5" s="1"/>
  <c r="J74" i="5" s="1"/>
  <c r="K74" i="5" s="1"/>
  <c r="L74" i="5" s="1"/>
  <c r="M74" i="5" s="1"/>
  <c r="N74" i="5" s="1"/>
  <c r="O74" i="5" s="1"/>
  <c r="P74" i="5" s="1"/>
  <c r="Q74" i="5" s="1"/>
  <c r="R74" i="5" s="1"/>
  <c r="S74" i="5" s="1"/>
  <c r="H75" i="5"/>
  <c r="I75" i="5" s="1"/>
  <c r="J75" i="5" s="1"/>
  <c r="K75" i="5" s="1"/>
  <c r="L75" i="5" s="1"/>
  <c r="M75" i="5" s="1"/>
  <c r="N75" i="5" s="1"/>
  <c r="O75" i="5" s="1"/>
  <c r="P75" i="5" s="1"/>
  <c r="Q75" i="5" s="1"/>
  <c r="R75" i="5" s="1"/>
  <c r="S75" i="5" s="1"/>
  <c r="H76" i="5"/>
  <c r="I76" i="5" s="1"/>
  <c r="J76" i="5" s="1"/>
  <c r="K76" i="5" s="1"/>
  <c r="L76" i="5" s="1"/>
  <c r="M76" i="5" s="1"/>
  <c r="N76" i="5" s="1"/>
  <c r="O76" i="5" s="1"/>
  <c r="P76" i="5" s="1"/>
  <c r="Q76" i="5" s="1"/>
  <c r="R76" i="5" s="1"/>
  <c r="S76" i="5" s="1"/>
  <c r="H77" i="5"/>
  <c r="I77" i="5" s="1"/>
  <c r="J77" i="5" s="1"/>
  <c r="K77" i="5" s="1"/>
  <c r="L77" i="5" s="1"/>
  <c r="M77" i="5" s="1"/>
  <c r="N77" i="5" s="1"/>
  <c r="O77" i="5" s="1"/>
  <c r="P77" i="5" s="1"/>
  <c r="Q77" i="5" s="1"/>
  <c r="R77" i="5" s="1"/>
  <c r="S77" i="5" s="1"/>
  <c r="H78" i="5"/>
  <c r="I78" i="5" s="1"/>
  <c r="J78" i="5" s="1"/>
  <c r="K78" i="5" s="1"/>
  <c r="L78" i="5" s="1"/>
  <c r="M78" i="5" s="1"/>
  <c r="N78" i="5" s="1"/>
  <c r="O78" i="5" s="1"/>
  <c r="P78" i="5" s="1"/>
  <c r="Q78" i="5" s="1"/>
  <c r="R78" i="5" s="1"/>
  <c r="S78" i="5" s="1"/>
  <c r="H79" i="5"/>
  <c r="I79" i="5" s="1"/>
  <c r="J79" i="5" s="1"/>
  <c r="K79" i="5" s="1"/>
  <c r="L79" i="5" s="1"/>
  <c r="M79" i="5" s="1"/>
  <c r="N79" i="5" s="1"/>
  <c r="O79" i="5" s="1"/>
  <c r="P79" i="5" s="1"/>
  <c r="Q79" i="5" s="1"/>
  <c r="R79" i="5" s="1"/>
  <c r="S79" i="5" s="1"/>
  <c r="H80" i="5"/>
  <c r="I80" i="5" s="1"/>
  <c r="J80" i="5" s="1"/>
  <c r="K80" i="5" s="1"/>
  <c r="L80" i="5" s="1"/>
  <c r="M80" i="5" s="1"/>
  <c r="N80" i="5" s="1"/>
  <c r="O80" i="5" s="1"/>
  <c r="P80" i="5" s="1"/>
  <c r="Q80" i="5" s="1"/>
  <c r="R80" i="5" s="1"/>
  <c r="S80" i="5" s="1"/>
  <c r="H81" i="5"/>
  <c r="I81" i="5" s="1"/>
  <c r="J81" i="5" s="1"/>
  <c r="K81" i="5" s="1"/>
  <c r="L81" i="5" s="1"/>
  <c r="M81" i="5" s="1"/>
  <c r="N81" i="5" s="1"/>
  <c r="O81" i="5" s="1"/>
  <c r="P81" i="5" s="1"/>
  <c r="Q81" i="5" s="1"/>
  <c r="R81" i="5" s="1"/>
  <c r="S81" i="5" s="1"/>
  <c r="H82" i="5"/>
  <c r="I82" i="5" s="1"/>
  <c r="J82" i="5" s="1"/>
  <c r="K82" i="5" s="1"/>
  <c r="L82" i="5" s="1"/>
  <c r="M82" i="5" s="1"/>
  <c r="N82" i="5" s="1"/>
  <c r="O82" i="5" s="1"/>
  <c r="P82" i="5" s="1"/>
  <c r="Q82" i="5" s="1"/>
  <c r="R82" i="5" s="1"/>
  <c r="S82" i="5" s="1"/>
  <c r="H83" i="5"/>
  <c r="I83" i="5" s="1"/>
  <c r="J83" i="5" s="1"/>
  <c r="K83" i="5" s="1"/>
  <c r="L83" i="5" s="1"/>
  <c r="M83" i="5" s="1"/>
  <c r="N83" i="5" s="1"/>
  <c r="O83" i="5" s="1"/>
  <c r="P83" i="5" s="1"/>
  <c r="Q83" i="5" s="1"/>
  <c r="R83" i="5" s="1"/>
  <c r="S83" i="5" s="1"/>
  <c r="H84" i="5"/>
  <c r="I84" i="5" s="1"/>
  <c r="J84" i="5" s="1"/>
  <c r="K84" i="5" s="1"/>
  <c r="L84" i="5" s="1"/>
  <c r="M84" i="5" s="1"/>
  <c r="N84" i="5" s="1"/>
  <c r="O84" i="5" s="1"/>
  <c r="P84" i="5" s="1"/>
  <c r="Q84" i="5" s="1"/>
  <c r="R84" i="5" s="1"/>
  <c r="S84" i="5" s="1"/>
  <c r="H85" i="5"/>
  <c r="I85" i="5" s="1"/>
  <c r="J85" i="5" s="1"/>
  <c r="K85" i="5" s="1"/>
  <c r="L85" i="5" s="1"/>
  <c r="M85" i="5" s="1"/>
  <c r="N85" i="5" s="1"/>
  <c r="O85" i="5" s="1"/>
  <c r="P85" i="5" s="1"/>
  <c r="Q85" i="5" s="1"/>
  <c r="R85" i="5" s="1"/>
  <c r="S85" i="5" s="1"/>
  <c r="H86" i="5"/>
  <c r="I86" i="5" s="1"/>
  <c r="J86" i="5" s="1"/>
  <c r="K86" i="5" s="1"/>
  <c r="L86" i="5" s="1"/>
  <c r="M86" i="5" s="1"/>
  <c r="N86" i="5" s="1"/>
  <c r="O86" i="5" s="1"/>
  <c r="P86" i="5" s="1"/>
  <c r="Q86" i="5" s="1"/>
  <c r="R86" i="5" s="1"/>
  <c r="S86" i="5" s="1"/>
  <c r="H87" i="5"/>
  <c r="I87" i="5" s="1"/>
  <c r="J87" i="5" s="1"/>
  <c r="K87" i="5" s="1"/>
  <c r="L87" i="5" s="1"/>
  <c r="M87" i="5" s="1"/>
  <c r="N87" i="5" s="1"/>
  <c r="O87" i="5" s="1"/>
  <c r="P87" i="5" s="1"/>
  <c r="Q87" i="5" s="1"/>
  <c r="R87" i="5" s="1"/>
  <c r="S87" i="5" s="1"/>
  <c r="H88" i="5"/>
  <c r="I88" i="5" s="1"/>
  <c r="J88" i="5" s="1"/>
  <c r="K88" i="5" s="1"/>
  <c r="L88" i="5" s="1"/>
  <c r="M88" i="5" s="1"/>
  <c r="N88" i="5" s="1"/>
  <c r="O88" i="5" s="1"/>
  <c r="P88" i="5" s="1"/>
  <c r="Q88" i="5" s="1"/>
  <c r="R88" i="5" s="1"/>
  <c r="S88" i="5" s="1"/>
  <c r="H89" i="5"/>
  <c r="I89" i="5" s="1"/>
  <c r="J89" i="5" s="1"/>
  <c r="K89" i="5" s="1"/>
  <c r="L89" i="5" s="1"/>
  <c r="M89" i="5" s="1"/>
  <c r="N89" i="5" s="1"/>
  <c r="O89" i="5" s="1"/>
  <c r="P89" i="5" s="1"/>
  <c r="Q89" i="5" s="1"/>
  <c r="R89" i="5" s="1"/>
  <c r="S89" i="5" s="1"/>
  <c r="H90" i="5"/>
  <c r="I90" i="5" s="1"/>
  <c r="J90" i="5" s="1"/>
  <c r="K90" i="5" s="1"/>
  <c r="L90" i="5" s="1"/>
  <c r="M90" i="5" s="1"/>
  <c r="N90" i="5" s="1"/>
  <c r="O90" i="5" s="1"/>
  <c r="P90" i="5" s="1"/>
  <c r="Q90" i="5" s="1"/>
  <c r="R90" i="5" s="1"/>
  <c r="S90" i="5" s="1"/>
  <c r="H91" i="5"/>
  <c r="I91" i="5" s="1"/>
  <c r="J91" i="5" s="1"/>
  <c r="K91" i="5" s="1"/>
  <c r="L91" i="5" s="1"/>
  <c r="M91" i="5" s="1"/>
  <c r="N91" i="5" s="1"/>
  <c r="O91" i="5" s="1"/>
  <c r="P91" i="5" s="1"/>
  <c r="Q91" i="5" s="1"/>
  <c r="R91" i="5" s="1"/>
  <c r="S91" i="5" s="1"/>
  <c r="H92" i="5"/>
  <c r="I92" i="5" s="1"/>
  <c r="J92" i="5" s="1"/>
  <c r="K92" i="5" s="1"/>
  <c r="L92" i="5" s="1"/>
  <c r="M92" i="5" s="1"/>
  <c r="N92" i="5" s="1"/>
  <c r="O92" i="5" s="1"/>
  <c r="P92" i="5" s="1"/>
  <c r="Q92" i="5" s="1"/>
  <c r="R92" i="5" s="1"/>
  <c r="S92" i="5" s="1"/>
  <c r="H93" i="5"/>
  <c r="I93" i="5" s="1"/>
  <c r="J93" i="5" s="1"/>
  <c r="K93" i="5" s="1"/>
  <c r="L93" i="5" s="1"/>
  <c r="M93" i="5" s="1"/>
  <c r="N93" i="5" s="1"/>
  <c r="O93" i="5" s="1"/>
  <c r="P93" i="5" s="1"/>
  <c r="Q93" i="5" s="1"/>
  <c r="R93" i="5" s="1"/>
  <c r="S93" i="5" s="1"/>
  <c r="H94" i="5"/>
  <c r="I94" i="5" s="1"/>
  <c r="J94" i="5" s="1"/>
  <c r="K94" i="5" s="1"/>
  <c r="L94" i="5" s="1"/>
  <c r="M94" i="5" s="1"/>
  <c r="N94" i="5" s="1"/>
  <c r="O94" i="5" s="1"/>
  <c r="P94" i="5" s="1"/>
  <c r="Q94" i="5" s="1"/>
  <c r="R94" i="5" s="1"/>
  <c r="S94" i="5" s="1"/>
  <c r="H95" i="5"/>
  <c r="I95" i="5" s="1"/>
  <c r="J95" i="5" s="1"/>
  <c r="K95" i="5" s="1"/>
  <c r="L95" i="5" s="1"/>
  <c r="M95" i="5" s="1"/>
  <c r="N95" i="5" s="1"/>
  <c r="O95" i="5" s="1"/>
  <c r="P95" i="5" s="1"/>
  <c r="Q95" i="5" s="1"/>
  <c r="R95" i="5" s="1"/>
  <c r="S95" i="5" s="1"/>
  <c r="H96" i="5"/>
  <c r="I96" i="5" s="1"/>
  <c r="J96" i="5" s="1"/>
  <c r="K96" i="5" s="1"/>
  <c r="L96" i="5" s="1"/>
  <c r="M96" i="5" s="1"/>
  <c r="N96" i="5" s="1"/>
  <c r="O96" i="5" s="1"/>
  <c r="P96" i="5" s="1"/>
  <c r="Q96" i="5" s="1"/>
  <c r="R96" i="5" s="1"/>
  <c r="S96" i="5" s="1"/>
  <c r="H97" i="5"/>
  <c r="I97" i="5" s="1"/>
  <c r="J97" i="5" s="1"/>
  <c r="K97" i="5" s="1"/>
  <c r="L97" i="5" s="1"/>
  <c r="M97" i="5" s="1"/>
  <c r="N97" i="5" s="1"/>
  <c r="O97" i="5" s="1"/>
  <c r="P97" i="5" s="1"/>
  <c r="Q97" i="5" s="1"/>
  <c r="R97" i="5" s="1"/>
  <c r="S97" i="5" s="1"/>
  <c r="H98" i="5"/>
  <c r="I98" i="5" s="1"/>
  <c r="J98" i="5" s="1"/>
  <c r="K98" i="5" s="1"/>
  <c r="L98" i="5" s="1"/>
  <c r="M98" i="5" s="1"/>
  <c r="N98" i="5" s="1"/>
  <c r="O98" i="5" s="1"/>
  <c r="P98" i="5" s="1"/>
  <c r="Q98" i="5" s="1"/>
  <c r="R98" i="5" s="1"/>
  <c r="S98" i="5" s="1"/>
  <c r="H99" i="5"/>
  <c r="I99" i="5" s="1"/>
  <c r="J99" i="5" s="1"/>
  <c r="K99" i="5" s="1"/>
  <c r="L99" i="5" s="1"/>
  <c r="M99" i="5" s="1"/>
  <c r="N99" i="5" s="1"/>
  <c r="O99" i="5" s="1"/>
  <c r="P99" i="5" s="1"/>
  <c r="Q99" i="5" s="1"/>
  <c r="R99" i="5" s="1"/>
  <c r="S99" i="5" s="1"/>
  <c r="H100" i="5"/>
  <c r="I100" i="5" s="1"/>
  <c r="J100" i="5" s="1"/>
  <c r="K100" i="5" s="1"/>
  <c r="L100" i="5" s="1"/>
  <c r="M100" i="5" s="1"/>
  <c r="N100" i="5" s="1"/>
  <c r="O100" i="5" s="1"/>
  <c r="P100" i="5" s="1"/>
  <c r="Q100" i="5" s="1"/>
  <c r="R100" i="5" s="1"/>
  <c r="S100" i="5" s="1"/>
  <c r="H101" i="5"/>
  <c r="I101" i="5" s="1"/>
  <c r="J101" i="5" s="1"/>
  <c r="K101" i="5" s="1"/>
  <c r="L101" i="5" s="1"/>
  <c r="M101" i="5" s="1"/>
  <c r="N101" i="5" s="1"/>
  <c r="O101" i="5" s="1"/>
  <c r="P101" i="5" s="1"/>
  <c r="Q101" i="5" s="1"/>
  <c r="R101" i="5" s="1"/>
  <c r="S101" i="5" s="1"/>
  <c r="H102" i="5"/>
  <c r="I102" i="5" s="1"/>
  <c r="J102" i="5" s="1"/>
  <c r="K102" i="5" s="1"/>
  <c r="L102" i="5" s="1"/>
  <c r="M102" i="5" s="1"/>
  <c r="N102" i="5" s="1"/>
  <c r="O102" i="5" s="1"/>
  <c r="P102" i="5" s="1"/>
  <c r="Q102" i="5" s="1"/>
  <c r="R102" i="5" s="1"/>
  <c r="S102" i="5" s="1"/>
  <c r="H103" i="5"/>
  <c r="I103" i="5" s="1"/>
  <c r="J103" i="5" s="1"/>
  <c r="K103" i="5" s="1"/>
  <c r="L103" i="5" s="1"/>
  <c r="M103" i="5" s="1"/>
  <c r="N103" i="5" s="1"/>
  <c r="O103" i="5" s="1"/>
  <c r="P103" i="5" s="1"/>
  <c r="Q103" i="5" s="1"/>
  <c r="R103" i="5" s="1"/>
  <c r="S103" i="5" s="1"/>
  <c r="H104" i="5"/>
  <c r="I104" i="5" s="1"/>
  <c r="J104" i="5" s="1"/>
  <c r="K104" i="5" s="1"/>
  <c r="L104" i="5" s="1"/>
  <c r="M104" i="5" s="1"/>
  <c r="N104" i="5" s="1"/>
  <c r="O104" i="5" s="1"/>
  <c r="P104" i="5" s="1"/>
  <c r="Q104" i="5" s="1"/>
  <c r="R104" i="5" s="1"/>
  <c r="S104" i="5" s="1"/>
  <c r="H105" i="5"/>
  <c r="I105" i="5" s="1"/>
  <c r="J105" i="5" s="1"/>
  <c r="K105" i="5" s="1"/>
  <c r="L105" i="5" s="1"/>
  <c r="M105" i="5" s="1"/>
  <c r="N105" i="5" s="1"/>
  <c r="O105" i="5" s="1"/>
  <c r="P105" i="5" s="1"/>
  <c r="Q105" i="5" s="1"/>
  <c r="R105" i="5" s="1"/>
  <c r="S105" i="5" s="1"/>
  <c r="C11" i="7"/>
  <c r="C8" i="7"/>
  <c r="L15" i="4"/>
  <c r="F13" i="7"/>
  <c r="C6" i="7"/>
  <c r="C12" i="7"/>
  <c r="D7" i="7"/>
  <c r="C9" i="7"/>
  <c r="C10" i="7"/>
  <c r="H14" i="7"/>
  <c r="C7" i="7"/>
  <c r="H3" i="5"/>
  <c r="J23" i="5" l="1"/>
  <c r="K23" i="5" s="1"/>
  <c r="L23" i="5" s="1"/>
  <c r="M23" i="5" s="1"/>
  <c r="N23" i="5" s="1"/>
  <c r="P23" i="5" s="1"/>
  <c r="Q23" i="5" s="1"/>
  <c r="R23" i="5" s="1"/>
  <c r="S23" i="5" s="1"/>
  <c r="I25" i="5"/>
  <c r="K15" i="5"/>
  <c r="N10" i="5"/>
  <c r="M13" i="5"/>
  <c r="L11" i="5"/>
  <c r="L8" i="5"/>
  <c r="L9" i="5"/>
  <c r="C16" i="7"/>
  <c r="I21" i="5"/>
  <c r="I29" i="5"/>
  <c r="I16" i="5"/>
  <c r="I17" i="5"/>
  <c r="B24" i="4"/>
  <c r="C14" i="4"/>
  <c r="C16" i="4" s="1"/>
  <c r="E14" i="4"/>
  <c r="E16" i="4" s="1"/>
  <c r="G14" i="4"/>
  <c r="G16" i="4" s="1"/>
  <c r="I14" i="4"/>
  <c r="I16" i="4" s="1"/>
  <c r="K14" i="4"/>
  <c r="K16" i="4" s="1"/>
  <c r="D14" i="4"/>
  <c r="D16" i="4" s="1"/>
  <c r="F14" i="4"/>
  <c r="F16" i="4" s="1"/>
  <c r="H14" i="4"/>
  <c r="H16" i="4" s="1"/>
  <c r="J14" i="4"/>
  <c r="J16" i="4" s="1"/>
  <c r="L14" i="4"/>
  <c r="L16" i="4" s="1"/>
  <c r="D9" i="7"/>
  <c r="D6" i="7"/>
  <c r="D11" i="7"/>
  <c r="I14" i="7"/>
  <c r="D8" i="7"/>
  <c r="D10" i="7"/>
  <c r="D12" i="7"/>
  <c r="G13" i="7"/>
  <c r="I3" i="5"/>
  <c r="J25" i="5" l="1"/>
  <c r="O10" i="5"/>
  <c r="N13" i="5"/>
  <c r="M11" i="5"/>
  <c r="M8" i="5"/>
  <c r="M9" i="5"/>
  <c r="D16" i="7"/>
  <c r="D17" i="7" s="1"/>
  <c r="C17" i="7"/>
  <c r="L7" i="5"/>
  <c r="J16" i="5"/>
  <c r="J29" i="5"/>
  <c r="J19" i="5"/>
  <c r="J21" i="5"/>
  <c r="J17" i="5"/>
  <c r="B25" i="4"/>
  <c r="H3" i="6"/>
  <c r="H4" i="6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C5" i="7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B3" i="7"/>
  <c r="C3" i="7" s="1"/>
  <c r="D3" i="7" s="1"/>
  <c r="E3" i="7" s="1"/>
  <c r="F3" i="7" s="1"/>
  <c r="G3" i="7" s="1"/>
  <c r="H3" i="7" s="1"/>
  <c r="I3" i="7" s="1"/>
  <c r="J3" i="7" s="1"/>
  <c r="K3" i="7" s="1"/>
  <c r="L3" i="7" s="1"/>
  <c r="M3" i="7" s="1"/>
  <c r="N3" i="7" s="1"/>
  <c r="A6" i="7"/>
  <c r="A7" i="7"/>
  <c r="A8" i="7"/>
  <c r="A9" i="7"/>
  <c r="A10" i="7"/>
  <c r="A11" i="7"/>
  <c r="A12" i="7"/>
  <c r="A13" i="7"/>
  <c r="A14" i="7"/>
  <c r="A15" i="7"/>
  <c r="H2" i="5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I1" i="5"/>
  <c r="J1" i="5" s="1"/>
  <c r="K1" i="5" s="1"/>
  <c r="L1" i="5" s="1"/>
  <c r="M1" i="5" s="1"/>
  <c r="N1" i="5" s="1"/>
  <c r="O1" i="5" s="1"/>
  <c r="P1" i="5" s="1"/>
  <c r="Q1" i="5" s="1"/>
  <c r="R1" i="5" s="1"/>
  <c r="S1" i="5" s="1"/>
  <c r="A45" i="6"/>
  <c r="A1" i="7" s="1"/>
  <c r="A46" i="6"/>
  <c r="A1" i="6" s="1"/>
  <c r="A44" i="6"/>
  <c r="A43" i="6"/>
  <c r="A1" i="5" s="1"/>
  <c r="A42" i="6"/>
  <c r="A1" i="4" s="1"/>
  <c r="B36" i="6"/>
  <c r="B10" i="6"/>
  <c r="E7" i="7"/>
  <c r="E6" i="7"/>
  <c r="E12" i="7"/>
  <c r="E10" i="7"/>
  <c r="E8" i="7"/>
  <c r="H13" i="7"/>
  <c r="J14" i="7"/>
  <c r="E11" i="7"/>
  <c r="E9" i="7"/>
  <c r="J3" i="5"/>
  <c r="L20" i="4"/>
  <c r="L21" i="4"/>
  <c r="L22" i="4"/>
  <c r="H25" i="4"/>
  <c r="J25" i="4"/>
  <c r="K25" i="4"/>
  <c r="K25" i="5" l="1"/>
  <c r="P10" i="5"/>
  <c r="O13" i="5"/>
  <c r="N11" i="5"/>
  <c r="N8" i="5"/>
  <c r="L32" i="4"/>
  <c r="H32" i="4"/>
  <c r="N9" i="5"/>
  <c r="E16" i="7"/>
  <c r="E17" i="7" s="1"/>
  <c r="M7" i="5"/>
  <c r="K29" i="5"/>
  <c r="K17" i="5"/>
  <c r="B26" i="4"/>
  <c r="B5" i="6"/>
  <c r="I3" i="6"/>
  <c r="G7" i="6"/>
  <c r="H4" i="5"/>
  <c r="J7" i="6"/>
  <c r="I7" i="6"/>
  <c r="J4" i="5"/>
  <c r="I4" i="5"/>
  <c r="H7" i="6"/>
  <c r="F12" i="7"/>
  <c r="F11" i="7"/>
  <c r="F6" i="7"/>
  <c r="F7" i="7"/>
  <c r="I13" i="7"/>
  <c r="F8" i="7"/>
  <c r="K14" i="7"/>
  <c r="F9" i="7"/>
  <c r="F10" i="7"/>
  <c r="C26" i="4"/>
  <c r="K3" i="5"/>
  <c r="J26" i="4"/>
  <c r="K26" i="4"/>
  <c r="N15" i="5" l="1"/>
  <c r="L25" i="5"/>
  <c r="Q10" i="5"/>
  <c r="P13" i="5"/>
  <c r="O11" i="5"/>
  <c r="O8" i="5"/>
  <c r="C32" i="4"/>
  <c r="J32" i="4"/>
  <c r="K32" i="4"/>
  <c r="O9" i="5"/>
  <c r="F16" i="7"/>
  <c r="F17" i="7" s="1"/>
  <c r="N7" i="5"/>
  <c r="L29" i="5"/>
  <c r="L19" i="5"/>
  <c r="L21" i="5"/>
  <c r="L16" i="5"/>
  <c r="L17" i="5"/>
  <c r="K7" i="6"/>
  <c r="K4" i="5"/>
  <c r="L14" i="5"/>
  <c r="B27" i="4"/>
  <c r="H8" i="6"/>
  <c r="J3" i="6"/>
  <c r="G10" i="6"/>
  <c r="G12" i="6"/>
  <c r="H12" i="6" s="1"/>
  <c r="G14" i="6"/>
  <c r="B28" i="6"/>
  <c r="I8" i="6"/>
  <c r="J8" i="6"/>
  <c r="J13" i="7"/>
  <c r="L14" i="7"/>
  <c r="G6" i="7"/>
  <c r="G8" i="7"/>
  <c r="G7" i="7"/>
  <c r="G12" i="7"/>
  <c r="G10" i="7"/>
  <c r="G9" i="7"/>
  <c r="G11" i="7"/>
  <c r="L3" i="5"/>
  <c r="M25" i="5" l="1"/>
  <c r="K8" i="6"/>
  <c r="R10" i="5"/>
  <c r="Q13" i="5"/>
  <c r="P11" i="5"/>
  <c r="P8" i="5"/>
  <c r="P9" i="5"/>
  <c r="G16" i="7"/>
  <c r="G17" i="7" s="1"/>
  <c r="O7" i="5"/>
  <c r="M19" i="5"/>
  <c r="M16" i="5"/>
  <c r="M21" i="5"/>
  <c r="M29" i="5"/>
  <c r="M17" i="5"/>
  <c r="L7" i="6"/>
  <c r="L8" i="6" s="1"/>
  <c r="L4" i="5"/>
  <c r="M14" i="5"/>
  <c r="B28" i="4"/>
  <c r="K3" i="6"/>
  <c r="H5" i="6"/>
  <c r="I5" i="6" s="1"/>
  <c r="J5" i="6" s="1"/>
  <c r="H14" i="6"/>
  <c r="I14" i="6" s="1"/>
  <c r="H13" i="6"/>
  <c r="I12" i="6"/>
  <c r="H9" i="7"/>
  <c r="H12" i="7"/>
  <c r="H6" i="7"/>
  <c r="H7" i="7"/>
  <c r="H8" i="7"/>
  <c r="H10" i="7"/>
  <c r="K13" i="7"/>
  <c r="M14" i="7"/>
  <c r="H11" i="7"/>
  <c r="M3" i="5"/>
  <c r="P15" i="5" l="1"/>
  <c r="N25" i="5"/>
  <c r="S10" i="5"/>
  <c r="R13" i="5"/>
  <c r="Q11" i="5"/>
  <c r="Q8" i="5"/>
  <c r="Q9" i="5"/>
  <c r="H16" i="7"/>
  <c r="H17" i="7" s="1"/>
  <c r="P7" i="5"/>
  <c r="N16" i="5"/>
  <c r="N29" i="5"/>
  <c r="N21" i="5"/>
  <c r="N19" i="5"/>
  <c r="N17" i="5"/>
  <c r="M7" i="6"/>
  <c r="M8" i="6" s="1"/>
  <c r="M4" i="5"/>
  <c r="N14" i="5"/>
  <c r="B29" i="4"/>
  <c r="K5" i="6"/>
  <c r="L3" i="6"/>
  <c r="J14" i="6"/>
  <c r="K14" i="6" s="1"/>
  <c r="I13" i="6"/>
  <c r="I9" i="7"/>
  <c r="I10" i="7"/>
  <c r="I8" i="7"/>
  <c r="I7" i="7"/>
  <c r="N14" i="7"/>
  <c r="I6" i="7"/>
  <c r="L13" i="7"/>
  <c r="I11" i="7"/>
  <c r="I12" i="7"/>
  <c r="N3" i="5"/>
  <c r="O25" i="5" l="1"/>
  <c r="S13" i="5"/>
  <c r="R11" i="5"/>
  <c r="R8" i="5"/>
  <c r="R9" i="5"/>
  <c r="I16" i="7"/>
  <c r="I17" i="7" s="1"/>
  <c r="Q7" i="5"/>
  <c r="O29" i="5"/>
  <c r="O19" i="5"/>
  <c r="O21" i="5"/>
  <c r="O17" i="5"/>
  <c r="N7" i="6"/>
  <c r="N8" i="6" s="1"/>
  <c r="N4" i="5"/>
  <c r="O14" i="5"/>
  <c r="B30" i="4"/>
  <c r="L14" i="6"/>
  <c r="L5" i="6"/>
  <c r="M3" i="6"/>
  <c r="J7" i="7"/>
  <c r="M13" i="7"/>
  <c r="J11" i="7"/>
  <c r="J10" i="7"/>
  <c r="J8" i="7"/>
  <c r="J12" i="7"/>
  <c r="J9" i="7"/>
  <c r="J6" i="7"/>
  <c r="O3" i="5"/>
  <c r="P25" i="5" l="1"/>
  <c r="S11" i="5"/>
  <c r="S8" i="5"/>
  <c r="S9" i="5"/>
  <c r="J16" i="7"/>
  <c r="J17" i="7" s="1"/>
  <c r="R7" i="5"/>
  <c r="P21" i="5"/>
  <c r="P19" i="5"/>
  <c r="P16" i="5"/>
  <c r="P29" i="5"/>
  <c r="P17" i="5"/>
  <c r="O7" i="6"/>
  <c r="O4" i="5"/>
  <c r="P14" i="5"/>
  <c r="B31" i="4"/>
  <c r="M14" i="6"/>
  <c r="M5" i="6"/>
  <c r="N3" i="6"/>
  <c r="J12" i="6"/>
  <c r="K12" i="6" s="1"/>
  <c r="L12" i="6" s="1"/>
  <c r="K7" i="7"/>
  <c r="K8" i="7"/>
  <c r="K12" i="7"/>
  <c r="N13" i="7"/>
  <c r="K10" i="7"/>
  <c r="K6" i="7"/>
  <c r="K9" i="7"/>
  <c r="K11" i="7"/>
  <c r="P3" i="5"/>
  <c r="O8" i="6" l="1"/>
  <c r="S15" i="5"/>
  <c r="K16" i="7"/>
  <c r="K17" i="7" s="1"/>
  <c r="S7" i="5"/>
  <c r="Q29" i="5"/>
  <c r="Q19" i="5"/>
  <c r="Q21" i="5"/>
  <c r="Q17" i="5"/>
  <c r="P7" i="6"/>
  <c r="P4" i="5"/>
  <c r="Q14" i="5"/>
  <c r="B32" i="4"/>
  <c r="N14" i="6"/>
  <c r="N5" i="6"/>
  <c r="O3" i="6"/>
  <c r="M12" i="6"/>
  <c r="L13" i="6"/>
  <c r="J13" i="6"/>
  <c r="K13" i="6"/>
  <c r="L11" i="7"/>
  <c r="L10" i="7"/>
  <c r="L7" i="7"/>
  <c r="L8" i="7"/>
  <c r="L6" i="7"/>
  <c r="L9" i="7"/>
  <c r="L12" i="7"/>
  <c r="Q3" i="5"/>
  <c r="P8" i="6" l="1"/>
  <c r="L16" i="7"/>
  <c r="L17" i="7" s="1"/>
  <c r="R21" i="5"/>
  <c r="R19" i="5"/>
  <c r="R16" i="5"/>
  <c r="R29" i="5"/>
  <c r="Q7" i="6"/>
  <c r="Q4" i="5"/>
  <c r="R14" i="5"/>
  <c r="O14" i="6"/>
  <c r="N12" i="6"/>
  <c r="M13" i="6"/>
  <c r="P3" i="6"/>
  <c r="O5" i="6"/>
  <c r="M6" i="7"/>
  <c r="M7" i="7"/>
  <c r="M12" i="7"/>
  <c r="M10" i="7"/>
  <c r="M11" i="7"/>
  <c r="M9" i="7"/>
  <c r="M8" i="7"/>
  <c r="R3" i="5"/>
  <c r="Q8" i="6" l="1"/>
  <c r="M16" i="7"/>
  <c r="S29" i="5"/>
  <c r="S16" i="5"/>
  <c r="S19" i="5"/>
  <c r="S21" i="5"/>
  <c r="S17" i="5"/>
  <c r="R7" i="6"/>
  <c r="R4" i="5"/>
  <c r="S14" i="5"/>
  <c r="P14" i="6"/>
  <c r="P5" i="6"/>
  <c r="Q3" i="6"/>
  <c r="O12" i="6"/>
  <c r="N13" i="6"/>
  <c r="N11" i="7"/>
  <c r="N7" i="7"/>
  <c r="N6" i="7"/>
  <c r="N9" i="7"/>
  <c r="N12" i="7"/>
  <c r="N10" i="7"/>
  <c r="N8" i="7"/>
  <c r="S3" i="5"/>
  <c r="R17" i="6" l="1"/>
  <c r="R16" i="6"/>
  <c r="R8" i="6"/>
  <c r="N16" i="7"/>
  <c r="N17" i="7" s="1"/>
  <c r="M17" i="7"/>
  <c r="S7" i="6"/>
  <c r="S8" i="6" s="1"/>
  <c r="S4" i="5"/>
  <c r="Q14" i="6"/>
  <c r="P12" i="6"/>
  <c r="O13" i="6"/>
  <c r="Q5" i="6"/>
  <c r="R3" i="6"/>
  <c r="R14" i="6" l="1"/>
  <c r="R5" i="6"/>
  <c r="S3" i="6"/>
  <c r="Q12" i="6"/>
  <c r="P13" i="6"/>
  <c r="S17" i="6" l="1"/>
  <c r="S16" i="6"/>
  <c r="S14" i="6"/>
  <c r="B11" i="6"/>
  <c r="B12" i="6"/>
  <c r="G21" i="6"/>
  <c r="H9" i="6"/>
  <c r="I9" i="6" s="1"/>
  <c r="J9" i="6" s="1"/>
  <c r="K9" i="6" s="1"/>
  <c r="L9" i="6" s="1"/>
  <c r="M9" i="6" s="1"/>
  <c r="N9" i="6" s="1"/>
  <c r="O9" i="6" s="1"/>
  <c r="P9" i="6" s="1"/>
  <c r="Q9" i="6" s="1"/>
  <c r="R9" i="6" s="1"/>
  <c r="S5" i="6"/>
  <c r="R12" i="6"/>
  <c r="Q13" i="6"/>
  <c r="B23" i="6"/>
  <c r="B22" i="6"/>
  <c r="B16" i="6"/>
  <c r="B18" i="6"/>
  <c r="B6" i="6"/>
  <c r="G22" i="6" l="1"/>
  <c r="S9" i="6"/>
  <c r="G9" i="6" s="1"/>
  <c r="S12" i="6"/>
  <c r="S13" i="6" s="1"/>
  <c r="R13" i="6"/>
  <c r="G5" i="4"/>
  <c r="B24" i="6"/>
  <c r="B9" i="6"/>
  <c r="B19" i="6"/>
  <c r="B17" i="6"/>
  <c r="B25" i="6"/>
  <c r="B7" i="6"/>
  <c r="H10" i="6" l="1"/>
  <c r="I10" i="6" s="1"/>
  <c r="J10" i="6" s="1"/>
  <c r="K10" i="6" s="1"/>
  <c r="L10" i="6" s="1"/>
  <c r="M10" i="6" s="1"/>
  <c r="N10" i="6" s="1"/>
  <c r="O10" i="6" s="1"/>
  <c r="P10" i="6" s="1"/>
  <c r="Q10" i="6" s="1"/>
  <c r="R10" i="6" s="1"/>
  <c r="S10" i="6" s="1"/>
  <c r="B32" i="6"/>
  <c r="A31" i="6"/>
  <c r="B29" i="6"/>
  <c r="A32" i="6"/>
</calcChain>
</file>

<file path=xl/comments1.xml><?xml version="1.0" encoding="utf-8"?>
<comments xmlns="http://schemas.openxmlformats.org/spreadsheetml/2006/main">
  <authors>
    <author>Test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-3
</t>
        </r>
        <r>
          <rPr>
            <b/>
            <sz val="9"/>
            <color indexed="81"/>
            <rFont val="Tahoma"/>
            <family val="2"/>
          </rPr>
          <t>Target Task:</t>
        </r>
        <r>
          <rPr>
            <sz val="9"/>
            <color indexed="81"/>
            <rFont val="Tahoma"/>
            <family val="2"/>
          </rPr>
          <t xml:space="preserve"> Module A UI
</t>
        </r>
        <r>
          <rPr>
            <b/>
            <sz val="9"/>
            <color indexed="81"/>
            <rFont val="Tahoma"/>
            <family val="2"/>
          </rPr>
          <t>Target Task Owner:</t>
        </r>
        <r>
          <rPr>
            <sz val="9"/>
            <color indexed="81"/>
            <rFont val="Tahoma"/>
            <family val="2"/>
          </rPr>
          <t xml:space="preserve"> BB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Transferred 3 hours to other task.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do not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-1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Spent 1 hour doing research and estimating the task.</t>
        </r>
      </text>
    </comment>
  </commentList>
</comments>
</file>

<file path=xl/comments2.xml><?xml version="1.0" encoding="utf-8"?>
<comments xmlns="http://schemas.openxmlformats.org/spreadsheetml/2006/main">
  <authors>
    <author>morona</author>
  </authors>
  <commentList>
    <comment ref="B9" authorId="0" shapeId="0">
      <text>
        <r>
          <rPr>
            <b/>
            <sz val="8"/>
            <color indexed="81"/>
            <rFont val="Tahoma"/>
            <family val="2"/>
          </rPr>
          <t>morona:</t>
        </r>
        <r>
          <rPr>
            <sz val="8"/>
            <color indexed="81"/>
            <rFont val="Tahoma"/>
            <family val="2"/>
          </rPr>
          <t xml:space="preserve">
m &lt; 0 : progress
m = 0 : holding steady
m &gt; 0 : losing ground</t>
        </r>
      </text>
    </comment>
    <comment ref="B36" authorId="0" shapeId="0">
      <text>
        <r>
          <rPr>
            <sz val="8"/>
            <color indexed="81"/>
            <rFont val="Tahoma"/>
            <family val="2"/>
          </rPr>
          <t>Arbitrarily large number to cover cases where the variance is large</t>
        </r>
      </text>
    </comment>
  </commentList>
</comments>
</file>

<file path=xl/sharedStrings.xml><?xml version="1.0" encoding="utf-8"?>
<sst xmlns="http://schemas.openxmlformats.org/spreadsheetml/2006/main" count="201" uniqueCount="151">
  <si>
    <t>Grey cells are calculated 
do not overwrite them</t>
  </si>
  <si>
    <t xml:space="preserve"> </t>
  </si>
  <si>
    <t>Sprint Team Information</t>
  </si>
  <si>
    <t># Work Days</t>
  </si>
  <si>
    <t>Ending Date</t>
  </si>
  <si>
    <t>Sprint Team Member Information</t>
  </si>
  <si>
    <t>(9) Sprint Team Member Daily Availability</t>
  </si>
  <si>
    <t>Total Available Work Hours:</t>
  </si>
  <si>
    <t>This spreadsheet is in the public domain.  It has no copyright and the authors are not responsible for it's accuracy or reliability.  Enjoy!</t>
  </si>
  <si>
    <t xml:space="preserve">Original authors [2004]: </t>
  </si>
  <si>
    <t>Deborah Hartmann</t>
  </si>
  <si>
    <t>and her Scrum colleagues in Toronto</t>
  </si>
  <si>
    <t xml:space="preserve">Revision authors [2006] </t>
  </si>
  <si>
    <t>Martin Orona</t>
  </si>
  <si>
    <t>with help from his Scrum collegues in San Diego, including</t>
  </si>
  <si>
    <t>Shawn Sanders</t>
  </si>
  <si>
    <t>Den Ducoff</t>
  </si>
  <si>
    <r>
      <t xml:space="preserve">Please fill in items 
</t>
    </r>
    <r>
      <rPr>
        <b/>
        <sz val="12"/>
        <color indexed="60"/>
        <rFont val="Arial"/>
        <family val="2"/>
      </rPr>
      <t>(1)</t>
    </r>
    <r>
      <rPr>
        <b/>
        <sz val="10"/>
        <rFont val="Arial"/>
        <family val="2"/>
      </rPr>
      <t xml:space="preserve"> through </t>
    </r>
    <r>
      <rPr>
        <b/>
        <sz val="12"/>
        <color indexed="60"/>
        <rFont val="Arial"/>
        <family val="2"/>
      </rPr>
      <t>(9)</t>
    </r>
  </si>
  <si>
    <r>
      <t>(1)</t>
    </r>
    <r>
      <rPr>
        <b/>
        <sz val="10"/>
        <rFont val="Arial"/>
        <family val="2"/>
      </rPr>
      <t xml:space="preserve"> Team Name</t>
    </r>
  </si>
  <si>
    <r>
      <t>(2)</t>
    </r>
    <r>
      <rPr>
        <b/>
        <sz val="10"/>
        <rFont val="Arial"/>
        <family val="2"/>
      </rPr>
      <t xml:space="preserve"> Starting Date</t>
    </r>
  </si>
  <si>
    <r>
      <t>(3)</t>
    </r>
    <r>
      <rPr>
        <b/>
        <sz val="10"/>
        <rFont val="Arial"/>
        <family val="2"/>
      </rPr>
      <t xml:space="preserve"> # Calendar Days</t>
    </r>
  </si>
  <si>
    <r>
      <t>(4)</t>
    </r>
    <r>
      <rPr>
        <b/>
        <sz val="10"/>
        <rFont val="Arial"/>
        <family val="2"/>
      </rPr>
      <t xml:space="preserve"> Work hours
in day</t>
    </r>
  </si>
  <si>
    <r>
      <t xml:space="preserve">
</t>
    </r>
    <r>
      <rPr>
        <b/>
        <sz val="12"/>
        <color indexed="60"/>
        <rFont val="Arial"/>
        <family val="2"/>
      </rPr>
      <t>(5)</t>
    </r>
    <r>
      <rPr>
        <b/>
        <sz val="12"/>
        <rFont val="Arial"/>
        <family val="2"/>
      </rPr>
      <t xml:space="preserve"> </t>
    </r>
    <r>
      <rPr>
        <b/>
        <sz val="10"/>
        <rFont val="Arial"/>
        <family val="2"/>
      </rPr>
      <t>Team Member Full Name</t>
    </r>
  </si>
  <si>
    <r>
      <t xml:space="preserve">
</t>
    </r>
    <r>
      <rPr>
        <b/>
        <sz val="12"/>
        <color indexed="60"/>
        <rFont val="Arial"/>
        <family val="2"/>
      </rPr>
      <t>(6)</t>
    </r>
    <r>
      <rPr>
        <b/>
        <sz val="10"/>
        <rFont val="Arial"/>
        <family val="2"/>
      </rPr>
      <t xml:space="preserve"> Team Member Initials</t>
    </r>
  </si>
  <si>
    <r>
      <t xml:space="preserve">
</t>
    </r>
    <r>
      <rPr>
        <b/>
        <sz val="12"/>
        <color indexed="60"/>
        <rFont val="Arial"/>
        <family val="2"/>
      </rPr>
      <t>(7)</t>
    </r>
    <r>
      <rPr>
        <b/>
        <sz val="10"/>
        <rFont val="Arial"/>
        <family val="2"/>
      </rPr>
      <t xml:space="preserve"> Working Days This Sprint
</t>
    </r>
    <r>
      <rPr>
        <sz val="10"/>
        <rFont val="Arial"/>
        <family val="2"/>
      </rPr>
      <t>Exclude personal time off, holidays</t>
    </r>
  </si>
  <si>
    <r>
      <t xml:space="preserve">
</t>
    </r>
    <r>
      <rPr>
        <b/>
        <sz val="12"/>
        <color indexed="60"/>
        <rFont val="Arial"/>
        <family val="2"/>
      </rPr>
      <t>(8)</t>
    </r>
    <r>
      <rPr>
        <b/>
        <sz val="10"/>
        <rFont val="Arial"/>
        <family val="2"/>
      </rPr>
      <t xml:space="preserve"> Overall Drag Factor
</t>
    </r>
    <r>
      <rPr>
        <sz val="10"/>
        <rFont val="Arial"/>
        <family val="2"/>
      </rPr>
      <t xml:space="preserve">% of time for </t>
    </r>
    <r>
      <rPr>
        <b/>
        <i/>
        <sz val="10"/>
        <rFont val="Arial"/>
        <family val="2"/>
      </rPr>
      <t>anything</t>
    </r>
    <r>
      <rPr>
        <sz val="10"/>
        <rFont val="Arial"/>
        <family val="2"/>
      </rPr>
      <t xml:space="preserve"> other than this Sprint's tasks</t>
    </r>
  </si>
  <si>
    <r>
      <t xml:space="preserve">
</t>
    </r>
    <r>
      <rPr>
        <b/>
        <sz val="10"/>
        <rFont val="Arial"/>
        <family val="2"/>
      </rPr>
      <t xml:space="preserve">Working calendar hours for this Sprint </t>
    </r>
  </si>
  <si>
    <r>
      <t xml:space="preserve">
</t>
    </r>
    <r>
      <rPr>
        <b/>
        <sz val="10"/>
        <rFont val="Arial"/>
        <family val="2"/>
      </rPr>
      <t>% of calendar hours available for this Sprint</t>
    </r>
  </si>
  <si>
    <r>
      <t xml:space="preserve">
</t>
    </r>
    <r>
      <rPr>
        <b/>
        <sz val="10"/>
        <rFont val="Arial"/>
        <family val="2"/>
      </rPr>
      <t>Working hours available for this Sprint</t>
    </r>
  </si>
  <si>
    <r>
      <t xml:space="preserve">
</t>
    </r>
    <r>
      <rPr>
        <b/>
        <sz val="10"/>
        <rFont val="Arial"/>
        <family val="2"/>
      </rPr>
      <t xml:space="preserve">Total planned hours
</t>
    </r>
    <r>
      <rPr>
        <sz val="10"/>
        <rFont val="Arial"/>
        <family val="2"/>
      </rPr>
      <t>from Sprint Backlog page</t>
    </r>
  </si>
  <si>
    <r>
      <t xml:space="preserve">
</t>
    </r>
    <r>
      <rPr>
        <b/>
        <sz val="10"/>
        <rFont val="Arial"/>
        <family val="2"/>
      </rPr>
      <t xml:space="preserve">Unplanned hours
</t>
    </r>
    <r>
      <rPr>
        <b/>
        <sz val="10"/>
        <color indexed="10"/>
        <rFont val="Arial"/>
        <family val="2"/>
      </rPr>
      <t>Red font</t>
    </r>
    <r>
      <rPr>
        <sz val="10"/>
        <rFont val="Arial"/>
        <family val="2"/>
      </rPr>
      <t xml:space="preserve"> if planned more than available</t>
    </r>
  </si>
  <si>
    <t>Fill in original task estimates only once at the start of the sprint</t>
  </si>
  <si>
    <t xml:space="preserve">Major Task Area
</t>
  </si>
  <si>
    <t xml:space="preserve">Task </t>
  </si>
  <si>
    <t>Notes and  
Trace Links</t>
  </si>
  <si>
    <t>Owner</t>
  </si>
  <si>
    <t xml:space="preserve">Status </t>
  </si>
  <si>
    <t>your space</t>
  </si>
  <si>
    <t>Originally Estimated Hours</t>
  </si>
  <si>
    <t>Total Hours Remaining by Day ==&gt;</t>
  </si>
  <si>
    <t>Total Daily Burndown by Day ==&gt;</t>
  </si>
  <si>
    <t>Date</t>
  </si>
  <si>
    <t xml:space="preserve">        start        </t>
  </si>
  <si>
    <t>Current Date For Calculations</t>
  </si>
  <si>
    <t>Calendar Day Of Sprint</t>
  </si>
  <si>
    <t>Planned End Date</t>
  </si>
  <si>
    <t>Completed Work Days  Of Sprint</t>
  </si>
  <si>
    <t>Trending Projection End Date</t>
  </si>
  <si>
    <t>Optimistic Projection End Date</t>
  </si>
  <si>
    <t>Effort Remaining</t>
  </si>
  <si>
    <t>Daily burndown</t>
  </si>
  <si>
    <t>Progress Status</t>
  </si>
  <si>
    <t>Average Daily Burndown</t>
  </si>
  <si>
    <t>Caledar Days In Sprint</t>
  </si>
  <si>
    <t>Current Trend</t>
  </si>
  <si>
    <t>Non Working Days In Sprint</t>
  </si>
  <si>
    <t>Working Days In Sprint</t>
  </si>
  <si>
    <t>Yellow Brick Road</t>
  </si>
  <si>
    <t>Target Daily Burndown Rate</t>
  </si>
  <si>
    <t>Planned Daily Burndown</t>
  </si>
  <si>
    <t>Planned Trend Path</t>
  </si>
  <si>
    <t>Trending Projection Daily Burndown</t>
  </si>
  <si>
    <t>Projected Effort Duration</t>
  </si>
  <si>
    <t>Optimistic Projection</t>
  </si>
  <si>
    <t>Days Variance</t>
  </si>
  <si>
    <t>Pessimistic Projection</t>
  </si>
  <si>
    <t>% Variance</t>
  </si>
  <si>
    <t>Accuracy</t>
  </si>
  <si>
    <t>Tasks Remaining</t>
  </si>
  <si>
    <t>Optimistic Projection Daily Burndown</t>
  </si>
  <si>
    <t>Day Is Part Of Sprint</t>
  </si>
  <si>
    <t>Day Should Be Counted In Calculations</t>
  </si>
  <si>
    <t>y = mx + b</t>
  </si>
  <si>
    <t>mx = y - b</t>
  </si>
  <si>
    <t>x = ( y - b ) / m</t>
  </si>
  <si>
    <t>x = -b / m</t>
  </si>
  <si>
    <t>y = 0</t>
  </si>
  <si>
    <t>Variance Bands</t>
  </si>
  <si>
    <t>Message</t>
  </si>
  <si>
    <t>Upper Bounds</t>
  </si>
  <si>
    <t>Re-asses the sprint</t>
  </si>
  <si>
    <t>Needs Lots of Work</t>
  </si>
  <si>
    <t>Needs Some Work</t>
  </si>
  <si>
    <t>Acceptable</t>
  </si>
  <si>
    <t>Worksheet Titles</t>
  </si>
  <si>
    <t>Projections Minimum Percentage Completion</t>
  </si>
  <si>
    <t>Projections Minimum Work Day Completion</t>
  </si>
  <si>
    <t xml:space="preserve">
     Macros are currently disabled.
     Macros are required for this spreadsheet to operate correctly.
     To enable macros:
          go to menu item Tools &gt; Macro &gt; Security...
          set the security level to Medium or Low
          close and re-open the spreadsheet</t>
  </si>
  <si>
    <t>Calendar Hours</t>
  </si>
  <si>
    <t>Day</t>
  </si>
  <si>
    <t>start</t>
  </si>
  <si>
    <t>Hours Remaining</t>
  </si>
  <si>
    <t>Daily Burndown</t>
  </si>
  <si>
    <t>Unfinished Tasks</t>
  </si>
  <si>
    <t>Note: The key aspect of this graph is the slope of the lines.  A flat line means that someone is stalled, out of work, or stolen.</t>
  </si>
  <si>
    <t>version time stamp
20080905_1600</t>
  </si>
  <si>
    <t>James Dickinson</t>
  </si>
  <si>
    <t>David Walsh</t>
  </si>
  <si>
    <t>Leigh Jones</t>
  </si>
  <si>
    <t>Ross Turner</t>
  </si>
  <si>
    <t>Maol Connolly</t>
  </si>
  <si>
    <t>Christopher O'Conner</t>
  </si>
  <si>
    <t>Ciaran McCaughey</t>
  </si>
  <si>
    <t>JD</t>
  </si>
  <si>
    <t>DW</t>
  </si>
  <si>
    <t>LJ</t>
  </si>
  <si>
    <t>RT</t>
  </si>
  <si>
    <t>MC</t>
  </si>
  <si>
    <t>COC</t>
  </si>
  <si>
    <t>CM</t>
  </si>
  <si>
    <t>04/11/2016 Fri</t>
  </si>
  <si>
    <t>As a user of the scrum client program I can register so that I can connect to the scrum management server</t>
  </si>
  <si>
    <t>Make form for user to input details in order to register account</t>
  </si>
  <si>
    <t>As a registering user I can select the scrum role(s) that I can potentially take (Product Owner, Scrum Master, Developer) so that I can be selected to carry out those roles in projects</t>
  </si>
  <si>
    <t>User will have options for selecting scrum roles when using the resister form</t>
  </si>
  <si>
    <t>Details of scrum roles will be stored for each registered user</t>
  </si>
  <si>
    <t>Registered users will be stored in the DB by the server</t>
  </si>
  <si>
    <t>As a registered user I can log in with my username and  password so that I can begin using the system</t>
  </si>
  <si>
    <t>User will be able to have login details verified by the server</t>
  </si>
  <si>
    <t>As a Project Manager I can search for  registered people using their name or email address to add to the  Project Team</t>
  </si>
  <si>
    <t>As a logged in user I can create a new project so that I can be the Project Manager</t>
  </si>
  <si>
    <t>Washington Redskins</t>
  </si>
  <si>
    <t>Set up client</t>
  </si>
  <si>
    <t xml:space="preserve">Client can receive authentication from sever </t>
  </si>
  <si>
    <t xml:space="preserve">Set up form </t>
  </si>
  <si>
    <t>Send the form up to the server and store it in the database</t>
  </si>
  <si>
    <t>As a registered user I will receive an email notifiying me if I have been added to a Project Team</t>
  </si>
  <si>
    <t>Form where the user can search by name and emails of registered users on the system</t>
  </si>
  <si>
    <t>Users can then be selected for the project being created - Checkbox/button</t>
  </si>
  <si>
    <t>Automated system to send out emails to invited users</t>
  </si>
  <si>
    <t>User will have the option to accept/decline the invitation the next time they log in</t>
  </si>
  <si>
    <t>As a logged in user I can easily switch from working on/viewing one of my projects to viewing /working on one of my other projects</t>
  </si>
  <si>
    <t>Every time a user opens a new project it will automatically open in a new tab</t>
  </si>
  <si>
    <t>Left hand menu for "My Projects", tabs situated along the top of the screen for easy navigation</t>
  </si>
  <si>
    <t>As a Project Manager I can appoint a person from the Project Team as the Product Owner to the Project so they can carry out that role</t>
  </si>
  <si>
    <t>Once the project team is built then a member can be assigned as project owner</t>
  </si>
  <si>
    <t>Once the owner signs in after they have been assigned that role they will have the appropriate view over the project</t>
  </si>
  <si>
    <t>Not Started</t>
  </si>
  <si>
    <t>Create WCF application</t>
  </si>
  <si>
    <t>Upload WCF application</t>
  </si>
  <si>
    <t>Set up database schema</t>
  </si>
  <si>
    <t>Set up tables</t>
  </si>
  <si>
    <t>Connect server to database</t>
  </si>
  <si>
    <t>Get the sever to retrive the data from the database</t>
  </si>
  <si>
    <t>Ciaran McCaughey and Ross Turner</t>
  </si>
  <si>
    <t>Leigh Jones and Christopher O'Connor</t>
  </si>
  <si>
    <t>CMRT</t>
  </si>
  <si>
    <t>LJCOC</t>
  </si>
  <si>
    <t>In Progress</t>
  </si>
  <si>
    <t>Completed</t>
  </si>
  <si>
    <t>Make the server have a RESTful architecture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</si>
</sst>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"/>
    <numFmt numFmtId="165" formatCode="0_);[Red]\(0\)"/>
    <numFmt numFmtId="166" formatCode="ddd\,\ mmm\-dd"/>
    <numFmt numFmtId="167" formatCode="0.00_);[Red]\(0.00\)"/>
    <numFmt numFmtId="168" formatCode="mm/dd/yyyy\ ddd"/>
    <numFmt numFmtId="169" formatCode="[Red]#,##0_);\(#,##0\);#,##0_)"/>
    <numFmt numFmtId="170" formatCode="ddd\ mmm\ dd\,\ yyyy"/>
    <numFmt numFmtId="171" formatCode="[Red]0.00_);\(0.00\);0_)"/>
    <numFmt numFmtId="172" formatCode="#,##0_);[Red]\(#,##0\);[Red]#,##0_)"/>
    <numFmt numFmtId="173" formatCode="0.00%;\(0.00%\);0%"/>
    <numFmt numFmtId="174" formatCode="[Red]0.0;\-0.00;0"/>
    <numFmt numFmtId="175" formatCode="0.00%;\-0.00%;0%"/>
    <numFmt numFmtId="176" formatCode="0;[Red]\-0;"/>
    <numFmt numFmtId="177" formatCode="0;[Red]\-0"/>
  </numFmts>
  <fonts count="63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color indexed="6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2"/>
      <color indexed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2"/>
      <color indexed="12"/>
      <name val="Arial"/>
      <family val="2"/>
    </font>
    <font>
      <b/>
      <i/>
      <sz val="10"/>
      <name val="Arial"/>
      <family val="2"/>
    </font>
    <font>
      <b/>
      <sz val="2"/>
      <name val="Arial"/>
      <family val="2"/>
    </font>
    <font>
      <b/>
      <sz val="10"/>
      <color indexed="10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22"/>
      <name val="Arial"/>
      <family val="2"/>
    </font>
    <font>
      <b/>
      <i/>
      <sz val="9"/>
      <name val="Arial"/>
      <family val="2"/>
    </font>
    <font>
      <i/>
      <sz val="7"/>
      <name val="Arial"/>
      <family val="2"/>
    </font>
    <font>
      <i/>
      <sz val="8"/>
      <name val="Arial"/>
      <family val="2"/>
    </font>
    <font>
      <b/>
      <sz val="12"/>
      <color indexed="9"/>
      <name val="Arial"/>
      <family val="2"/>
    </font>
    <font>
      <b/>
      <i/>
      <sz val="8"/>
      <color indexed="8"/>
      <name val="Arial"/>
      <family val="2"/>
    </font>
    <font>
      <b/>
      <i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14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1"/>
      <name val="Arial"/>
      <family val="2"/>
    </font>
    <font>
      <b/>
      <sz val="8"/>
      <color indexed="18"/>
      <name val="Arial"/>
      <family val="2"/>
    </font>
    <font>
      <sz val="8"/>
      <color indexed="12"/>
      <name val="Arial"/>
      <family val="2"/>
    </font>
    <font>
      <sz val="8"/>
      <color indexed="18"/>
      <name val="Arial"/>
      <family val="2"/>
    </font>
    <font>
      <b/>
      <sz val="8"/>
      <color rgb="FFFF6400"/>
      <name val="Arial"/>
      <family val="2"/>
    </font>
    <font>
      <sz val="9"/>
      <color indexed="81"/>
      <name val="Tahoma"/>
      <family val="2"/>
    </font>
    <font>
      <b/>
      <strike/>
      <sz val="8"/>
      <color rgb="FFFF6400"/>
      <name val="Arial"/>
      <family val="2"/>
    </font>
    <font>
      <sz val="10.5"/>
      <color rgb="FFFFFFFF"/>
      <name val="Arial Black"/>
      <family val="2"/>
    </font>
    <font>
      <sz val="8"/>
      <color rgb="FF800000"/>
      <name val="Arial"/>
      <family val="2"/>
    </font>
    <font>
      <i/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medium">
        <color indexed="64"/>
      </right>
      <top style="thin">
        <color indexed="23"/>
      </top>
      <bottom/>
      <diagonal/>
    </border>
    <border>
      <left style="medium">
        <color indexed="8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medium">
        <color indexed="8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medium">
        <color indexed="64"/>
      </left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41"/>
      </left>
      <right/>
      <top style="double">
        <color indexed="41"/>
      </top>
      <bottom style="double">
        <color indexed="41"/>
      </bottom>
      <diagonal/>
    </border>
    <border>
      <left/>
      <right/>
      <top style="double">
        <color indexed="41"/>
      </top>
      <bottom style="double">
        <color indexed="41"/>
      </bottom>
      <diagonal/>
    </border>
    <border>
      <left/>
      <right style="double">
        <color indexed="41"/>
      </right>
      <top style="double">
        <color indexed="41"/>
      </top>
      <bottom style="double">
        <color indexed="41"/>
      </bottom>
      <diagonal/>
    </border>
    <border>
      <left style="medium">
        <color indexed="64"/>
      </left>
      <right/>
      <top style="medium">
        <color indexed="64"/>
      </top>
      <bottom style="thin">
        <color indexed="23"/>
      </bottom>
      <diagonal/>
    </border>
    <border>
      <left/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23"/>
      </top>
      <bottom style="medium">
        <color indexed="64"/>
      </bottom>
      <diagonal/>
    </border>
    <border>
      <left/>
      <right style="thin">
        <color indexed="23"/>
      </right>
      <top style="thin">
        <color indexed="2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medium">
        <color indexed="8"/>
      </right>
      <top/>
      <bottom style="thin">
        <color indexed="23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6" fillId="0" borderId="0"/>
    <xf numFmtId="0" fontId="16" fillId="0" borderId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225">
    <xf numFmtId="0" fontId="0" fillId="0" borderId="0" xfId="0"/>
    <xf numFmtId="0" fontId="6" fillId="0" borderId="0" xfId="38"/>
    <xf numFmtId="0" fontId="16" fillId="0" borderId="0" xfId="38" applyFont="1" applyFill="1" applyAlignment="1">
      <alignment horizontal="left" vertical="top"/>
    </xf>
    <xf numFmtId="0" fontId="16" fillId="0" borderId="0" xfId="38" applyFont="1" applyAlignment="1">
      <alignment horizontal="left" vertical="top"/>
    </xf>
    <xf numFmtId="0" fontId="22" fillId="0" borderId="0" xfId="38" applyFont="1" applyAlignment="1">
      <alignment horizontal="center" vertical="top"/>
    </xf>
    <xf numFmtId="0" fontId="22" fillId="0" borderId="0" xfId="38" applyFont="1" applyFill="1" applyAlignment="1">
      <alignment horizontal="center" vertical="top"/>
    </xf>
    <xf numFmtId="0" fontId="16" fillId="0" borderId="0" xfId="38" applyFont="1" applyAlignment="1">
      <alignment horizontal="center" vertical="top"/>
    </xf>
    <xf numFmtId="0" fontId="16" fillId="0" borderId="0" xfId="38" applyFont="1" applyFill="1" applyAlignment="1">
      <alignment horizontal="center" vertical="top"/>
    </xf>
    <xf numFmtId="0" fontId="6" fillId="0" borderId="0" xfId="38" applyFill="1"/>
    <xf numFmtId="0" fontId="29" fillId="0" borderId="10" xfId="38" applyFont="1" applyFill="1" applyBorder="1" applyAlignment="1" applyProtection="1">
      <alignment horizontal="center" vertical="center" wrapText="1"/>
      <protection locked="0"/>
    </xf>
    <xf numFmtId="0" fontId="29" fillId="0" borderId="11" xfId="38" applyFont="1" applyFill="1" applyBorder="1" applyAlignment="1" applyProtection="1">
      <alignment horizontal="center" vertical="center" wrapText="1"/>
      <protection locked="0"/>
    </xf>
    <xf numFmtId="0" fontId="30" fillId="0" borderId="1" xfId="38" applyFont="1" applyFill="1" applyBorder="1" applyAlignment="1" applyProtection="1">
      <alignment horizontal="center" vertical="center" wrapText="1"/>
      <protection locked="0"/>
    </xf>
    <xf numFmtId="0" fontId="30" fillId="0" borderId="12" xfId="38" applyFont="1" applyFill="1" applyBorder="1" applyAlignment="1" applyProtection="1">
      <alignment horizontal="center" vertical="center" wrapText="1"/>
      <protection locked="0"/>
    </xf>
    <xf numFmtId="0" fontId="29" fillId="0" borderId="1" xfId="38" applyFont="1" applyFill="1" applyBorder="1" applyAlignment="1" applyProtection="1">
      <alignment horizontal="center" vertical="center"/>
      <protection locked="0"/>
    </xf>
    <xf numFmtId="0" fontId="29" fillId="0" borderId="12" xfId="38" applyFont="1" applyFill="1" applyBorder="1" applyAlignment="1" applyProtection="1">
      <alignment horizontal="center" vertical="center"/>
      <protection locked="0"/>
    </xf>
    <xf numFmtId="9" fontId="29" fillId="0" borderId="13" xfId="38" applyNumberFormat="1" applyFont="1" applyFill="1" applyBorder="1" applyAlignment="1" applyProtection="1">
      <alignment horizontal="center" vertical="center"/>
      <protection locked="0"/>
    </xf>
    <xf numFmtId="9" fontId="29" fillId="0" borderId="14" xfId="38" applyNumberFormat="1" applyFont="1" applyFill="1" applyBorder="1" applyAlignment="1" applyProtection="1">
      <alignment horizontal="center" vertical="center"/>
      <protection locked="0"/>
    </xf>
    <xf numFmtId="0" fontId="29" fillId="24" borderId="10" xfId="38" applyFont="1" applyFill="1" applyBorder="1" applyAlignment="1">
      <alignment horizontal="center" vertical="center"/>
    </xf>
    <xf numFmtId="0" fontId="29" fillId="24" borderId="11" xfId="38" applyFont="1" applyFill="1" applyBorder="1" applyAlignment="1">
      <alignment horizontal="center" vertical="center"/>
    </xf>
    <xf numFmtId="9" fontId="29" fillId="24" borderId="1" xfId="38" applyNumberFormat="1" applyFont="1" applyFill="1" applyBorder="1" applyAlignment="1">
      <alignment horizontal="center" vertical="center"/>
    </xf>
    <xf numFmtId="9" fontId="29" fillId="24" borderId="12" xfId="38" applyNumberFormat="1" applyFont="1" applyFill="1" applyBorder="1" applyAlignment="1">
      <alignment horizontal="center" vertical="center"/>
    </xf>
    <xf numFmtId="1" fontId="29" fillId="24" borderId="1" xfId="38" applyNumberFormat="1" applyFont="1" applyFill="1" applyBorder="1" applyAlignment="1">
      <alignment horizontal="center" vertical="center"/>
    </xf>
    <xf numFmtId="1" fontId="29" fillId="24" borderId="12" xfId="38" applyNumberFormat="1" applyFont="1" applyFill="1" applyBorder="1" applyAlignment="1">
      <alignment horizontal="center" vertical="center"/>
    </xf>
    <xf numFmtId="1" fontId="29" fillId="24" borderId="15" xfId="38" applyNumberFormat="1" applyFont="1" applyFill="1" applyBorder="1" applyAlignment="1">
      <alignment horizontal="center" vertical="center"/>
    </xf>
    <xf numFmtId="1" fontId="29" fillId="24" borderId="16" xfId="38" applyNumberFormat="1" applyFont="1" applyFill="1" applyBorder="1" applyAlignment="1">
      <alignment horizontal="center" vertical="center"/>
    </xf>
    <xf numFmtId="165" fontId="29" fillId="24" borderId="13" xfId="38" applyNumberFormat="1" applyFont="1" applyFill="1" applyBorder="1" applyAlignment="1">
      <alignment horizontal="center" vertical="center"/>
    </xf>
    <xf numFmtId="165" fontId="29" fillId="24" borderId="14" xfId="38" applyNumberFormat="1" applyFont="1" applyFill="1" applyBorder="1" applyAlignment="1">
      <alignment horizontal="center" vertical="center"/>
    </xf>
    <xf numFmtId="0" fontId="17" fillId="0" borderId="0" xfId="38" applyFont="1" applyFill="1"/>
    <xf numFmtId="0" fontId="17" fillId="24" borderId="17" xfId="38" applyFont="1" applyFill="1" applyBorder="1" applyAlignment="1"/>
    <xf numFmtId="0" fontId="17" fillId="24" borderId="18" xfId="38" applyFont="1" applyFill="1" applyBorder="1"/>
    <xf numFmtId="0" fontId="29" fillId="24" borderId="18" xfId="38" applyNumberFormat="1" applyFont="1" applyFill="1" applyBorder="1" applyAlignment="1">
      <alignment horizontal="center"/>
    </xf>
    <xf numFmtId="0" fontId="29" fillId="24" borderId="19" xfId="38" applyNumberFormat="1" applyFont="1" applyFill="1" applyBorder="1" applyAlignment="1">
      <alignment horizontal="center"/>
    </xf>
    <xf numFmtId="0" fontId="29" fillId="24" borderId="20" xfId="39" applyNumberFormat="1" applyFont="1" applyFill="1" applyBorder="1" applyAlignment="1" applyProtection="1">
      <alignment horizontal="right" indent="1"/>
    </xf>
    <xf numFmtId="166" fontId="29" fillId="24" borderId="21" xfId="39" applyNumberFormat="1" applyFont="1" applyFill="1" applyBorder="1" applyAlignment="1" applyProtection="1">
      <alignment horizontal="right" indent="1"/>
    </xf>
    <xf numFmtId="0" fontId="29" fillId="24" borderId="23" xfId="39" applyNumberFormat="1" applyFont="1" applyFill="1" applyBorder="1" applyAlignment="1" applyProtection="1">
      <alignment horizontal="right" indent="1"/>
    </xf>
    <xf numFmtId="166" fontId="29" fillId="24" borderId="1" xfId="39" applyNumberFormat="1" applyFont="1" applyFill="1" applyBorder="1" applyAlignment="1" applyProtection="1">
      <alignment horizontal="right" indent="1"/>
    </xf>
    <xf numFmtId="0" fontId="29" fillId="24" borderId="24" xfId="38" applyFont="1" applyFill="1" applyBorder="1"/>
    <xf numFmtId="164" fontId="36" fillId="24" borderId="25" xfId="38" applyNumberFormat="1" applyFont="1" applyFill="1" applyBorder="1" applyAlignment="1">
      <alignment horizontal="center"/>
    </xf>
    <xf numFmtId="164" fontId="29" fillId="24" borderId="25" xfId="38" applyNumberFormat="1" applyFont="1" applyFill="1" applyBorder="1" applyAlignment="1">
      <alignment horizontal="center"/>
    </xf>
    <xf numFmtId="164" fontId="29" fillId="24" borderId="26" xfId="38" applyNumberFormat="1" applyFont="1" applyFill="1" applyBorder="1" applyAlignment="1">
      <alignment horizontal="center"/>
    </xf>
    <xf numFmtId="0" fontId="37" fillId="24" borderId="27" xfId="38" applyFont="1" applyFill="1" applyBorder="1"/>
    <xf numFmtId="0" fontId="37" fillId="24" borderId="28" xfId="38" applyFont="1" applyFill="1" applyBorder="1"/>
    <xf numFmtId="164" fontId="37" fillId="24" borderId="28" xfId="38" applyNumberFormat="1" applyFont="1" applyFill="1" applyBorder="1"/>
    <xf numFmtId="0" fontId="37" fillId="24" borderId="29" xfId="38" applyFont="1" applyFill="1" applyBorder="1"/>
    <xf numFmtId="164" fontId="17" fillId="0" borderId="0" xfId="38" applyNumberFormat="1" applyFont="1" applyFill="1"/>
    <xf numFmtId="0" fontId="6" fillId="24" borderId="0" xfId="38" applyFill="1" applyAlignment="1"/>
    <xf numFmtId="0" fontId="17" fillId="24" borderId="0" xfId="38" applyFont="1" applyFill="1"/>
    <xf numFmtId="0" fontId="12" fillId="24" borderId="0" xfId="34" applyFill="1" applyAlignment="1" applyProtection="1"/>
    <xf numFmtId="0" fontId="17" fillId="24" borderId="0" xfId="38" applyFont="1" applyFill="1" applyAlignment="1"/>
    <xf numFmtId="0" fontId="39" fillId="24" borderId="30" xfId="39" applyFont="1" applyFill="1" applyBorder="1" applyAlignment="1" applyProtection="1">
      <alignment horizontal="center" wrapText="1"/>
    </xf>
    <xf numFmtId="0" fontId="40" fillId="24" borderId="30" xfId="39" applyFont="1" applyFill="1" applyBorder="1" applyAlignment="1" applyProtection="1">
      <alignment horizontal="center"/>
    </xf>
    <xf numFmtId="166" fontId="41" fillId="25" borderId="30" xfId="38" applyNumberFormat="1" applyFont="1" applyFill="1" applyBorder="1" applyAlignment="1" applyProtection="1">
      <alignment vertical="top" wrapText="1"/>
    </xf>
    <xf numFmtId="166" fontId="41" fillId="25" borderId="30" xfId="38" applyNumberFormat="1" applyFont="1" applyFill="1" applyBorder="1" applyAlignment="1" applyProtection="1">
      <alignment horizontal="center" vertical="top" wrapText="1"/>
    </xf>
    <xf numFmtId="166" fontId="41" fillId="25" borderId="31" xfId="38" applyNumberFormat="1" applyFont="1" applyFill="1" applyBorder="1" applyAlignment="1" applyProtection="1">
      <alignment horizontal="center" vertical="top" wrapText="1"/>
    </xf>
    <xf numFmtId="166" fontId="41" fillId="25" borderId="32" xfId="38" applyNumberFormat="1" applyFont="1" applyFill="1" applyBorder="1" applyAlignment="1" applyProtection="1">
      <alignment horizontal="center" vertical="top" wrapText="1"/>
    </xf>
    <xf numFmtId="166" fontId="17" fillId="24" borderId="33" xfId="39" applyNumberFormat="1" applyFont="1" applyFill="1" applyBorder="1" applyAlignment="1" applyProtection="1">
      <alignment horizontal="left" textRotation="90" wrapText="1"/>
    </xf>
    <xf numFmtId="0" fontId="42" fillId="25" borderId="30" xfId="38" applyFont="1" applyFill="1" applyBorder="1" applyAlignment="1" applyProtection="1">
      <alignment horizontal="center" vertical="center" wrapText="1"/>
    </xf>
    <xf numFmtId="1" fontId="44" fillId="25" borderId="34" xfId="39" applyNumberFormat="1" applyFont="1" applyFill="1" applyBorder="1" applyAlignment="1" applyProtection="1">
      <alignment horizontal="center" textRotation="90" wrapText="1"/>
    </xf>
    <xf numFmtId="177" fontId="17" fillId="24" borderId="30" xfId="39" applyNumberFormat="1" applyFont="1" applyFill="1" applyBorder="1" applyAlignment="1" applyProtection="1">
      <alignment horizontal="left" textRotation="90" wrapText="1"/>
    </xf>
    <xf numFmtId="177" fontId="22" fillId="24" borderId="33" xfId="39" applyNumberFormat="1" applyFont="1" applyFill="1" applyBorder="1" applyAlignment="1" applyProtection="1">
      <alignment horizontal="center" vertical="top"/>
    </xf>
    <xf numFmtId="0" fontId="22" fillId="0" borderId="0" xfId="39" applyFont="1" applyFill="1" applyBorder="1" applyAlignment="1" applyProtection="1">
      <alignment vertical="top" wrapText="1"/>
    </xf>
    <xf numFmtId="0" fontId="48" fillId="0" borderId="0" xfId="39" applyFont="1" applyFill="1" applyBorder="1" applyAlignment="1" applyProtection="1">
      <alignment vertical="top"/>
    </xf>
    <xf numFmtId="166" fontId="48" fillId="0" borderId="0" xfId="39" applyNumberFormat="1" applyFont="1" applyFill="1" applyBorder="1" applyAlignment="1" applyProtection="1">
      <alignment horizontal="center" vertical="center" wrapText="1"/>
    </xf>
    <xf numFmtId="170" fontId="22" fillId="0" borderId="0" xfId="39" applyNumberFormat="1" applyFont="1" applyFill="1" applyBorder="1" applyAlignment="1" applyProtection="1">
      <alignment horizontal="right" vertical="top" wrapText="1"/>
    </xf>
    <xf numFmtId="167" fontId="48" fillId="0" borderId="0" xfId="39" applyNumberFormat="1" applyFont="1" applyFill="1" applyBorder="1" applyAlignment="1" applyProtection="1">
      <alignment horizontal="center" vertical="top"/>
    </xf>
    <xf numFmtId="169" fontId="22" fillId="0" borderId="0" xfId="39" applyNumberFormat="1" applyFont="1" applyFill="1" applyBorder="1" applyAlignment="1" applyProtection="1">
      <alignment horizontal="center" vertical="top"/>
    </xf>
    <xf numFmtId="172" fontId="22" fillId="0" borderId="0" xfId="39" applyNumberFormat="1" applyFont="1" applyFill="1" applyBorder="1" applyAlignment="1" applyProtection="1">
      <alignment horizontal="right" vertical="top" wrapText="1"/>
    </xf>
    <xf numFmtId="0" fontId="22" fillId="0" borderId="0" xfId="39" applyFont="1" applyFill="1" applyBorder="1" applyAlignment="1" applyProtection="1">
      <alignment horizontal="center" vertical="top" wrapText="1"/>
    </xf>
    <xf numFmtId="0" fontId="22" fillId="0" borderId="0" xfId="39" applyFont="1" applyFill="1" applyBorder="1" applyAlignment="1" applyProtection="1">
      <alignment horizontal="right" vertical="top" wrapText="1"/>
    </xf>
    <xf numFmtId="167" fontId="22" fillId="0" borderId="0" xfId="39" applyNumberFormat="1" applyFont="1" applyFill="1" applyBorder="1" applyAlignment="1" applyProtection="1">
      <alignment horizontal="center" vertical="top"/>
    </xf>
    <xf numFmtId="174" fontId="22" fillId="0" borderId="0" xfId="39" applyNumberFormat="1" applyFont="1" applyFill="1" applyBorder="1" applyAlignment="1" applyProtection="1">
      <alignment horizontal="right" vertical="top" wrapText="1"/>
    </xf>
    <xf numFmtId="0" fontId="22" fillId="0" borderId="0" xfId="39" applyFont="1" applyFill="1" applyBorder="1" applyAlignment="1" applyProtection="1">
      <alignment horizontal="center" vertical="top"/>
    </xf>
    <xf numFmtId="171" fontId="22" fillId="0" borderId="0" xfId="39" applyNumberFormat="1" applyFont="1" applyFill="1" applyBorder="1" applyAlignment="1" applyProtection="1">
      <alignment vertical="top" wrapText="1"/>
    </xf>
    <xf numFmtId="0" fontId="22" fillId="0" borderId="0" xfId="39" applyNumberFormat="1" applyFont="1" applyFill="1" applyBorder="1" applyAlignment="1" applyProtection="1">
      <alignment horizontal="right" vertical="top" wrapText="1"/>
    </xf>
    <xf numFmtId="165" fontId="22" fillId="0" borderId="0" xfId="39" applyNumberFormat="1" applyFont="1" applyFill="1" applyBorder="1" applyAlignment="1" applyProtection="1">
      <alignment vertical="top" wrapText="1"/>
    </xf>
    <xf numFmtId="1" fontId="22" fillId="0" borderId="0" xfId="39" applyNumberFormat="1" applyFont="1" applyFill="1" applyBorder="1" applyAlignment="1" applyProtection="1">
      <alignment horizontal="center" vertical="top"/>
    </xf>
    <xf numFmtId="0" fontId="48" fillId="0" borderId="0" xfId="39" applyFont="1" applyFill="1" applyBorder="1" applyAlignment="1" applyProtection="1">
      <alignment vertical="top" wrapText="1"/>
    </xf>
    <xf numFmtId="0" fontId="48" fillId="0" borderId="0" xfId="39" quotePrefix="1" applyFont="1" applyFill="1" applyBorder="1" applyAlignment="1" applyProtection="1">
      <alignment vertical="top"/>
    </xf>
    <xf numFmtId="0" fontId="48" fillId="0" borderId="0" xfId="39" quotePrefix="1" applyFont="1" applyFill="1" applyBorder="1" applyAlignment="1" applyProtection="1">
      <alignment vertical="top" wrapText="1"/>
    </xf>
    <xf numFmtId="0" fontId="29" fillId="0" borderId="0" xfId="0" applyFont="1" applyFill="1" applyBorder="1" applyAlignment="1"/>
    <xf numFmtId="0" fontId="22" fillId="0" borderId="0" xfId="0" applyFont="1" applyFill="1" applyBorder="1" applyAlignment="1">
      <alignment wrapText="1"/>
    </xf>
    <xf numFmtId="0" fontId="22" fillId="0" borderId="0" xfId="0" applyFont="1" applyFill="1" applyBorder="1"/>
    <xf numFmtId="166" fontId="47" fillId="0" borderId="0" xfId="0" applyNumberFormat="1" applyFont="1" applyFill="1" applyBorder="1" applyAlignment="1">
      <alignment horizontal="center" vertical="center" wrapText="1"/>
    </xf>
    <xf numFmtId="0" fontId="22" fillId="24" borderId="0" xfId="0" applyFont="1" applyFill="1" applyBorder="1" applyAlignment="1">
      <alignment vertical="top" wrapText="1"/>
    </xf>
    <xf numFmtId="0" fontId="22" fillId="0" borderId="0" xfId="0" applyFont="1" applyFill="1" applyBorder="1" applyAlignment="1">
      <alignment vertical="center" wrapText="1"/>
    </xf>
    <xf numFmtId="166" fontId="22" fillId="0" borderId="0" xfId="0" applyNumberFormat="1" applyFont="1" applyFill="1" applyBorder="1" applyAlignment="1">
      <alignment vertical="center" wrapText="1"/>
    </xf>
    <xf numFmtId="0" fontId="48" fillId="0" borderId="0" xfId="0" applyFont="1" applyFill="1" applyBorder="1" applyAlignment="1" applyProtection="1">
      <alignment horizontal="center" vertical="center" wrapText="1"/>
    </xf>
    <xf numFmtId="0" fontId="22" fillId="0" borderId="0" xfId="0" applyFont="1" applyFill="1" applyBorder="1" applyAlignment="1">
      <alignment horizontal="center" wrapText="1"/>
    </xf>
    <xf numFmtId="0" fontId="22" fillId="0" borderId="0" xfId="0" applyFont="1" applyFill="1" applyBorder="1" applyAlignment="1" applyProtection="1">
      <alignment horizontal="center" wrapText="1"/>
    </xf>
    <xf numFmtId="0" fontId="22" fillId="0" borderId="0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center"/>
    </xf>
    <xf numFmtId="0" fontId="48" fillId="0" borderId="0" xfId="0" applyFont="1" applyFill="1" applyBorder="1" applyAlignment="1">
      <alignment vertical="center" wrapText="1"/>
    </xf>
    <xf numFmtId="169" fontId="22" fillId="0" borderId="0" xfId="0" applyNumberFormat="1" applyFont="1" applyFill="1" applyBorder="1" applyAlignment="1">
      <alignment horizontal="center"/>
    </xf>
    <xf numFmtId="169" fontId="22" fillId="0" borderId="0" xfId="0" applyNumberFormat="1" applyFont="1" applyFill="1" applyBorder="1" applyAlignment="1" applyProtection="1">
      <alignment horizontal="center" vertical="top"/>
    </xf>
    <xf numFmtId="0" fontId="48" fillId="0" borderId="0" xfId="0" applyFont="1" applyFill="1" applyBorder="1"/>
    <xf numFmtId="167" fontId="48" fillId="0" borderId="0" xfId="0" applyNumberFormat="1" applyFont="1" applyFill="1" applyBorder="1" applyAlignment="1">
      <alignment horizontal="center"/>
    </xf>
    <xf numFmtId="174" fontId="22" fillId="0" borderId="0" xfId="0" applyNumberFormat="1" applyFont="1" applyAlignment="1">
      <alignment horizontal="right"/>
    </xf>
    <xf numFmtId="40" fontId="48" fillId="0" borderId="0" xfId="0" applyNumberFormat="1" applyFont="1" applyFill="1" applyBorder="1"/>
    <xf numFmtId="0" fontId="48" fillId="0" borderId="0" xfId="0" applyFont="1"/>
    <xf numFmtId="40" fontId="48" fillId="0" borderId="0" xfId="0" applyNumberFormat="1" applyFont="1"/>
    <xf numFmtId="0" fontId="48" fillId="0" borderId="0" xfId="0" applyFont="1" applyFill="1" applyBorder="1" applyProtection="1"/>
    <xf numFmtId="175" fontId="22" fillId="0" borderId="0" xfId="0" applyNumberFormat="1" applyFont="1" applyFill="1" applyBorder="1" applyAlignment="1" applyProtection="1">
      <alignment horizontal="right"/>
    </xf>
    <xf numFmtId="173" fontId="22" fillId="0" borderId="0" xfId="0" applyNumberFormat="1" applyFont="1" applyFill="1" applyBorder="1" applyAlignment="1" applyProtection="1">
      <alignment horizontal="right"/>
    </xf>
    <xf numFmtId="0" fontId="22" fillId="0" borderId="0" xfId="0" applyFont="1"/>
    <xf numFmtId="0" fontId="22" fillId="0" borderId="0" xfId="0" applyFont="1" applyAlignment="1">
      <alignment horizontal="right"/>
    </xf>
    <xf numFmtId="174" fontId="22" fillId="0" borderId="0" xfId="0" applyNumberFormat="1" applyFont="1" applyFill="1" applyBorder="1" applyAlignment="1">
      <alignment horizontal="right"/>
    </xf>
    <xf numFmtId="0" fontId="49" fillId="0" borderId="0" xfId="0" applyFont="1" applyFill="1" applyBorder="1"/>
    <xf numFmtId="0" fontId="48" fillId="0" borderId="35" xfId="0" applyFont="1" applyFill="1" applyBorder="1" applyAlignment="1" applyProtection="1">
      <alignment horizontal="center"/>
    </xf>
    <xf numFmtId="0" fontId="50" fillId="27" borderId="0" xfId="0" applyFont="1" applyFill="1" applyBorder="1" applyProtection="1"/>
    <xf numFmtId="0" fontId="50" fillId="28" borderId="0" xfId="0" applyFont="1" applyFill="1" applyBorder="1" applyProtection="1"/>
    <xf numFmtId="10" fontId="50" fillId="28" borderId="0" xfId="0" applyNumberFormat="1" applyFont="1" applyFill="1" applyBorder="1" applyProtection="1"/>
    <xf numFmtId="0" fontId="50" fillId="29" borderId="0" xfId="0" applyFont="1" applyFill="1" applyBorder="1" applyProtection="1"/>
    <xf numFmtId="10" fontId="50" fillId="29" borderId="0" xfId="0" applyNumberFormat="1" applyFont="1" applyFill="1" applyBorder="1" applyProtection="1"/>
    <xf numFmtId="0" fontId="50" fillId="30" borderId="36" xfId="0" applyFont="1" applyFill="1" applyBorder="1" applyProtection="1"/>
    <xf numFmtId="10" fontId="50" fillId="30" borderId="36" xfId="0" applyNumberFormat="1" applyFont="1" applyFill="1" applyBorder="1" applyProtection="1"/>
    <xf numFmtId="0" fontId="22" fillId="0" borderId="0" xfId="0" applyFont="1" applyFill="1" applyBorder="1" applyProtection="1"/>
    <xf numFmtId="0" fontId="22" fillId="0" borderId="0" xfId="0" applyFont="1" applyFill="1" applyBorder="1" applyAlignment="1">
      <alignment vertical="top"/>
    </xf>
    <xf numFmtId="0" fontId="22" fillId="0" borderId="36" xfId="0" applyFont="1" applyFill="1" applyBorder="1"/>
    <xf numFmtId="9" fontId="22" fillId="0" borderId="0" xfId="0" applyNumberFormat="1" applyFont="1"/>
    <xf numFmtId="0" fontId="22" fillId="0" borderId="0" xfId="0" applyFont="1" applyAlignment="1">
      <alignment wrapText="1"/>
    </xf>
    <xf numFmtId="0" fontId="51" fillId="24" borderId="0" xfId="38" applyFont="1" applyFill="1"/>
    <xf numFmtId="0" fontId="52" fillId="24" borderId="1" xfId="38" applyFont="1" applyFill="1" applyBorder="1" applyAlignment="1">
      <alignment horizontal="right" wrapText="1"/>
    </xf>
    <xf numFmtId="0" fontId="53" fillId="24" borderId="1" xfId="38" applyFont="1" applyFill="1" applyBorder="1"/>
    <xf numFmtId="0" fontId="52" fillId="24" borderId="1" xfId="38" applyFont="1" applyFill="1" applyBorder="1" applyAlignment="1">
      <alignment horizontal="right"/>
    </xf>
    <xf numFmtId="0" fontId="54" fillId="24" borderId="1" xfId="38" applyNumberFormat="1" applyFont="1" applyFill="1" applyBorder="1"/>
    <xf numFmtId="166" fontId="48" fillId="24" borderId="15" xfId="38" applyNumberFormat="1" applyFont="1" applyFill="1" applyBorder="1" applyAlignment="1">
      <alignment horizontal="right" vertical="center"/>
    </xf>
    <xf numFmtId="166" fontId="25" fillId="24" borderId="15" xfId="39" applyNumberFormat="1" applyFont="1" applyFill="1" applyBorder="1" applyAlignment="1">
      <alignment horizontal="center" vertical="center" wrapText="1"/>
    </xf>
    <xf numFmtId="166" fontId="17" fillId="24" borderId="15" xfId="39" applyNumberFormat="1" applyFont="1" applyFill="1" applyBorder="1" applyAlignment="1">
      <alignment horizontal="center" vertical="center" textRotation="90" wrapText="1"/>
    </xf>
    <xf numFmtId="176" fontId="48" fillId="24" borderId="37" xfId="38" applyNumberFormat="1" applyFont="1" applyFill="1" applyBorder="1" applyAlignment="1">
      <alignment horizontal="center"/>
    </xf>
    <xf numFmtId="38" fontId="22" fillId="24" borderId="10" xfId="38" applyNumberFormat="1" applyFont="1" applyFill="1" applyBorder="1"/>
    <xf numFmtId="176" fontId="48" fillId="24" borderId="38" xfId="38" applyNumberFormat="1" applyFont="1" applyFill="1" applyBorder="1" applyAlignment="1">
      <alignment horizontal="center"/>
    </xf>
    <xf numFmtId="38" fontId="22" fillId="24" borderId="39" xfId="38" applyNumberFormat="1" applyFont="1" applyFill="1" applyBorder="1"/>
    <xf numFmtId="176" fontId="48" fillId="24" borderId="40" xfId="38" applyNumberFormat="1" applyFont="1" applyFill="1" applyBorder="1" applyAlignment="1">
      <alignment horizontal="center"/>
    </xf>
    <xf numFmtId="38" fontId="22" fillId="24" borderId="21" xfId="38" applyNumberFormat="1" applyFont="1" applyFill="1" applyBorder="1"/>
    <xf numFmtId="176" fontId="48" fillId="24" borderId="41" xfId="38" applyNumberFormat="1" applyFont="1" applyFill="1" applyBorder="1" applyAlignment="1">
      <alignment horizontal="center"/>
    </xf>
    <xf numFmtId="38" fontId="22" fillId="24" borderId="42" xfId="38" applyNumberFormat="1" applyFont="1" applyFill="1" applyBorder="1"/>
    <xf numFmtId="0" fontId="52" fillId="24" borderId="10" xfId="38" applyFont="1" applyFill="1" applyBorder="1" applyAlignment="1">
      <alignment horizontal="right"/>
    </xf>
    <xf numFmtId="38" fontId="54" fillId="24" borderId="43" xfId="38" quotePrefix="1" applyNumberFormat="1" applyFont="1" applyFill="1" applyBorder="1"/>
    <xf numFmtId="0" fontId="52" fillId="24" borderId="21" xfId="38" applyFont="1" applyFill="1" applyBorder="1" applyAlignment="1">
      <alignment horizontal="right"/>
    </xf>
    <xf numFmtId="38" fontId="54" fillId="24" borderId="1" xfId="38" applyNumberFormat="1" applyFont="1" applyFill="1" applyBorder="1"/>
    <xf numFmtId="0" fontId="51" fillId="0" borderId="0" xfId="38" applyFont="1"/>
    <xf numFmtId="0" fontId="17" fillId="0" borderId="0" xfId="38" applyFont="1"/>
    <xf numFmtId="0" fontId="29" fillId="0" borderId="0" xfId="38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176" fontId="0" fillId="0" borderId="44" xfId="0" applyNumberFormat="1" applyBorder="1" applyAlignment="1">
      <alignment horizontal="center" vertical="center"/>
    </xf>
    <xf numFmtId="0" fontId="0" fillId="0" borderId="0" xfId="0" applyFill="1"/>
    <xf numFmtId="0" fontId="55" fillId="26" borderId="30" xfId="39" applyFont="1" applyFill="1" applyBorder="1" applyAlignment="1" applyProtection="1">
      <alignment vertical="top"/>
    </xf>
    <xf numFmtId="0" fontId="57" fillId="26" borderId="30" xfId="39" applyFont="1" applyFill="1" applyBorder="1" applyAlignment="1" applyProtection="1">
      <alignment vertical="top" wrapText="1"/>
    </xf>
    <xf numFmtId="164" fontId="6" fillId="0" borderId="1" xfId="38" applyNumberFormat="1" applyFont="1" applyFill="1" applyBorder="1" applyAlignment="1" applyProtection="1">
      <alignment horizontal="center"/>
      <protection locked="0"/>
    </xf>
    <xf numFmtId="164" fontId="6" fillId="0" borderId="22" xfId="38" applyNumberFormat="1" applyFont="1" applyFill="1" applyBorder="1" applyAlignment="1" applyProtection="1">
      <alignment horizontal="center"/>
      <protection locked="0"/>
    </xf>
    <xf numFmtId="164" fontId="6" fillId="0" borderId="56" xfId="38" applyNumberFormat="1" applyFont="1" applyFill="1" applyBorder="1" applyAlignment="1" applyProtection="1">
      <alignment horizontal="center"/>
      <protection locked="0"/>
    </xf>
    <xf numFmtId="164" fontId="29" fillId="0" borderId="1" xfId="38" applyNumberFormat="1" applyFont="1" applyFill="1" applyBorder="1" applyAlignment="1" applyProtection="1">
      <alignment horizontal="center"/>
      <protection locked="0"/>
    </xf>
    <xf numFmtId="164" fontId="29" fillId="0" borderId="21" xfId="38" applyNumberFormat="1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wrapText="1"/>
    </xf>
    <xf numFmtId="0" fontId="0" fillId="0" borderId="0" xfId="0" applyFill="1" applyAlignment="1">
      <alignment wrapText="1"/>
    </xf>
    <xf numFmtId="177" fontId="0" fillId="0" borderId="44" xfId="0" applyNumberFormat="1" applyBorder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177" fontId="0" fillId="0" borderId="44" xfId="0" applyNumberFormat="1" applyFill="1" applyBorder="1" applyAlignment="1">
      <alignment horizontal="center" vertical="center"/>
    </xf>
    <xf numFmtId="0" fontId="0" fillId="28" borderId="0" xfId="0" applyFill="1" applyAlignment="1">
      <alignment wrapText="1"/>
    </xf>
    <xf numFmtId="0" fontId="16" fillId="0" borderId="0" xfId="0" applyFont="1" applyFill="1" applyAlignment="1">
      <alignment horizontal="center" wrapText="1"/>
    </xf>
    <xf numFmtId="0" fontId="0" fillId="0" borderId="0" xfId="0" applyFill="1" applyAlignment="1">
      <alignment horizontal="center" wrapText="1"/>
    </xf>
    <xf numFmtId="0" fontId="0" fillId="32" borderId="0" xfId="0" applyFill="1" applyAlignment="1">
      <alignment wrapText="1"/>
    </xf>
    <xf numFmtId="0" fontId="0" fillId="33" borderId="0" xfId="0" applyFill="1" applyAlignment="1">
      <alignment wrapText="1"/>
    </xf>
    <xf numFmtId="0" fontId="59" fillId="0" borderId="0" xfId="39" applyFont="1" applyFill="1" applyBorder="1" applyAlignment="1" applyProtection="1">
      <alignment horizontal="right" vertical="top" wrapText="1"/>
    </xf>
    <xf numFmtId="170" fontId="59" fillId="0" borderId="0" xfId="39" quotePrefix="1" applyNumberFormat="1" applyFont="1" applyFill="1" applyBorder="1" applyAlignment="1" applyProtection="1">
      <alignment horizontal="right" vertical="top" wrapText="1"/>
    </xf>
    <xf numFmtId="0" fontId="25" fillId="31" borderId="45" xfId="38" applyNumberFormat="1" applyFont="1" applyFill="1" applyBorder="1" applyAlignment="1">
      <alignment horizontal="center" vertical="top" wrapText="1"/>
    </xf>
    <xf numFmtId="0" fontId="23" fillId="31" borderId="46" xfId="38" applyNumberFormat="1" applyFont="1" applyFill="1" applyBorder="1" applyAlignment="1">
      <alignment horizontal="center" vertical="top" wrapText="1"/>
    </xf>
    <xf numFmtId="0" fontId="23" fillId="31" borderId="47" xfId="38" applyNumberFormat="1" applyFont="1" applyFill="1" applyBorder="1" applyAlignment="1">
      <alignment horizontal="center" vertical="top" wrapText="1"/>
    </xf>
    <xf numFmtId="0" fontId="28" fillId="24" borderId="48" xfId="38" applyFont="1" applyFill="1" applyBorder="1" applyAlignment="1">
      <alignment horizontal="left" wrapText="1"/>
    </xf>
    <xf numFmtId="0" fontId="28" fillId="24" borderId="49" xfId="38" applyFont="1" applyFill="1" applyBorder="1" applyAlignment="1">
      <alignment horizontal="left" wrapText="1"/>
    </xf>
    <xf numFmtId="0" fontId="28" fillId="24" borderId="50" xfId="38" applyFont="1" applyFill="1" applyBorder="1" applyAlignment="1">
      <alignment horizontal="left" wrapText="1"/>
    </xf>
    <xf numFmtId="0" fontId="28" fillId="24" borderId="51" xfId="38" applyFont="1" applyFill="1" applyBorder="1" applyAlignment="1">
      <alignment horizontal="left" wrapText="1"/>
    </xf>
    <xf numFmtId="0" fontId="33" fillId="24" borderId="48" xfId="38" applyFont="1" applyFill="1" applyBorder="1" applyAlignment="1">
      <alignment horizontal="left" wrapText="1"/>
    </xf>
    <xf numFmtId="0" fontId="33" fillId="24" borderId="49" xfId="38" applyFont="1" applyFill="1" applyBorder="1" applyAlignment="1">
      <alignment horizontal="left" wrapText="1"/>
    </xf>
    <xf numFmtId="0" fontId="23" fillId="24" borderId="0" xfId="38" applyNumberFormat="1" applyFont="1" applyFill="1" applyAlignment="1">
      <alignment horizontal="left" vertical="top" wrapText="1"/>
    </xf>
    <xf numFmtId="0" fontId="26" fillId="0" borderId="52" xfId="38" applyNumberFormat="1" applyFont="1" applyBorder="1" applyAlignment="1">
      <alignment horizontal="center" vertical="top"/>
    </xf>
    <xf numFmtId="0" fontId="25" fillId="24" borderId="10" xfId="38" applyFont="1" applyFill="1" applyBorder="1" applyAlignment="1">
      <alignment horizontal="center" vertical="top"/>
    </xf>
    <xf numFmtId="0" fontId="25" fillId="31" borderId="45" xfId="38" applyFont="1" applyFill="1" applyBorder="1" applyAlignment="1">
      <alignment horizontal="center" vertical="top" wrapText="1"/>
    </xf>
    <xf numFmtId="0" fontId="25" fillId="31" borderId="46" xfId="38" applyFont="1" applyFill="1" applyBorder="1" applyAlignment="1">
      <alignment horizontal="center" vertical="top" wrapText="1"/>
    </xf>
    <xf numFmtId="0" fontId="25" fillId="31" borderId="47" xfId="38" applyFont="1" applyFill="1" applyBorder="1" applyAlignment="1">
      <alignment horizontal="center" vertical="top" wrapText="1"/>
    </xf>
    <xf numFmtId="0" fontId="24" fillId="24" borderId="10" xfId="38" applyFont="1" applyFill="1" applyBorder="1" applyAlignment="1">
      <alignment horizontal="center" vertical="top" wrapText="1"/>
    </xf>
    <xf numFmtId="0" fontId="27" fillId="24" borderId="11" xfId="38" applyFont="1" applyFill="1" applyBorder="1" applyAlignment="1">
      <alignment horizontal="center" vertical="top" wrapText="1"/>
    </xf>
    <xf numFmtId="0" fontId="25" fillId="0" borderId="13" xfId="38" applyFont="1" applyFill="1" applyBorder="1" applyAlignment="1" applyProtection="1">
      <alignment horizontal="center" vertical="center"/>
      <protection locked="0"/>
    </xf>
    <xf numFmtId="0" fontId="25" fillId="0" borderId="14" xfId="38" applyFont="1" applyBorder="1" applyAlignment="1" applyProtection="1">
      <alignment horizontal="center" vertical="center"/>
      <protection locked="0"/>
    </xf>
    <xf numFmtId="0" fontId="35" fillId="0" borderId="0" xfId="38" applyFont="1" applyFill="1" applyBorder="1" applyAlignment="1">
      <alignment horizontal="center"/>
    </xf>
    <xf numFmtId="0" fontId="0" fillId="0" borderId="0" xfId="0" applyBorder="1" applyAlignment="1"/>
    <xf numFmtId="0" fontId="0" fillId="0" borderId="52" xfId="0" applyBorder="1" applyAlignment="1"/>
    <xf numFmtId="168" fontId="25" fillId="24" borderId="13" xfId="38" applyNumberFormat="1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horizontal="center" vertical="top" wrapText="1"/>
    </xf>
    <xf numFmtId="0" fontId="27" fillId="24" borderId="10" xfId="38" applyFont="1" applyFill="1" applyBorder="1" applyAlignment="1">
      <alignment horizontal="center" vertical="top" wrapText="1"/>
    </xf>
    <xf numFmtId="0" fontId="31" fillId="24" borderId="53" xfId="38" applyFont="1" applyFill="1" applyBorder="1" applyAlignment="1">
      <alignment wrapText="1"/>
    </xf>
    <xf numFmtId="0" fontId="31" fillId="24" borderId="54" xfId="38" applyFont="1" applyFill="1" applyBorder="1" applyAlignment="1">
      <alignment wrapText="1"/>
    </xf>
    <xf numFmtId="0" fontId="25" fillId="0" borderId="53" xfId="38" applyNumberFormat="1" applyFont="1" applyFill="1" applyBorder="1" applyAlignment="1" applyProtection="1">
      <alignment horizontal="left" vertical="center"/>
      <protection locked="0"/>
    </xf>
    <xf numFmtId="0" fontId="25" fillId="0" borderId="54" xfId="38" applyNumberFormat="1" applyFont="1" applyFill="1" applyBorder="1" applyAlignment="1" applyProtection="1">
      <alignment horizontal="left" vertical="center"/>
      <protection locked="0"/>
    </xf>
    <xf numFmtId="0" fontId="33" fillId="24" borderId="50" xfId="38" applyFont="1" applyFill="1" applyBorder="1" applyAlignment="1">
      <alignment horizontal="left" wrapText="1"/>
    </xf>
    <xf numFmtId="0" fontId="33" fillId="24" borderId="51" xfId="38" applyFont="1" applyFill="1" applyBorder="1" applyAlignment="1">
      <alignment horizontal="left" wrapText="1"/>
    </xf>
    <xf numFmtId="0" fontId="33" fillId="24" borderId="53" xfId="38" applyFont="1" applyFill="1" applyBorder="1" applyAlignment="1">
      <alignment horizontal="left" wrapText="1"/>
    </xf>
    <xf numFmtId="0" fontId="33" fillId="24" borderId="54" xfId="38" applyFont="1" applyFill="1" applyBorder="1" applyAlignment="1">
      <alignment horizontal="left" wrapText="1"/>
    </xf>
    <xf numFmtId="9" fontId="33" fillId="24" borderId="50" xfId="38" applyNumberFormat="1" applyFont="1" applyFill="1" applyBorder="1" applyAlignment="1">
      <alignment horizontal="left" wrapText="1"/>
    </xf>
    <xf numFmtId="9" fontId="33" fillId="24" borderId="51" xfId="38" applyNumberFormat="1" applyFont="1" applyFill="1" applyBorder="1" applyAlignment="1">
      <alignment horizontal="left" wrapText="1"/>
    </xf>
    <xf numFmtId="0" fontId="25" fillId="24" borderId="13" xfId="38" applyNumberFormat="1" applyFont="1" applyFill="1" applyBorder="1" applyAlignment="1" applyProtection="1">
      <alignment horizontal="center" vertical="center"/>
    </xf>
    <xf numFmtId="0" fontId="31" fillId="24" borderId="50" xfId="38" applyFont="1" applyFill="1" applyBorder="1" applyAlignment="1">
      <alignment horizontal="left" wrapText="1"/>
    </xf>
    <xf numFmtId="0" fontId="31" fillId="24" borderId="51" xfId="38" applyFont="1" applyFill="1" applyBorder="1" applyAlignment="1">
      <alignment horizontal="left" wrapText="1"/>
    </xf>
    <xf numFmtId="0" fontId="24" fillId="24" borderId="10" xfId="38" applyFont="1" applyFill="1" applyBorder="1" applyAlignment="1">
      <alignment horizontal="center" vertical="top"/>
    </xf>
    <xf numFmtId="0" fontId="27" fillId="24" borderId="10" xfId="38" applyFont="1" applyFill="1" applyBorder="1" applyAlignment="1">
      <alignment horizontal="center" vertical="top"/>
    </xf>
    <xf numFmtId="0" fontId="24" fillId="24" borderId="48" xfId="38" applyFont="1" applyFill="1" applyBorder="1" applyAlignment="1">
      <alignment horizontal="left" vertical="top"/>
    </xf>
    <xf numFmtId="0" fontId="24" fillId="24" borderId="49" xfId="38" applyFont="1" applyFill="1" applyBorder="1" applyAlignment="1">
      <alignment horizontal="left" vertical="top"/>
    </xf>
    <xf numFmtId="14" fontId="25" fillId="0" borderId="13" xfId="38" applyNumberFormat="1" applyFont="1" applyFill="1" applyBorder="1" applyAlignment="1" applyProtection="1">
      <alignment horizontal="center" vertical="center"/>
      <protection locked="0"/>
    </xf>
    <xf numFmtId="0" fontId="43" fillId="25" borderId="34" xfId="38" applyFont="1" applyFill="1" applyBorder="1" applyAlignment="1" applyProtection="1">
      <alignment horizontal="right" wrapText="1"/>
    </xf>
    <xf numFmtId="0" fontId="43" fillId="25" borderId="35" xfId="38" applyFont="1" applyFill="1" applyBorder="1" applyAlignment="1" applyProtection="1">
      <alignment horizontal="right" wrapText="1"/>
    </xf>
    <xf numFmtId="0" fontId="43" fillId="25" borderId="55" xfId="38" applyFont="1" applyFill="1" applyBorder="1" applyAlignment="1" applyProtection="1">
      <alignment horizontal="right" wrapText="1"/>
    </xf>
    <xf numFmtId="0" fontId="23" fillId="24" borderId="34" xfId="38" applyFont="1" applyFill="1" applyBorder="1" applyAlignment="1" applyProtection="1">
      <alignment horizontal="left" vertical="center" wrapText="1"/>
    </xf>
    <xf numFmtId="0" fontId="23" fillId="24" borderId="35" xfId="38" applyFont="1" applyFill="1" applyBorder="1" applyAlignment="1" applyProtection="1">
      <alignment horizontal="left" vertical="center" wrapText="1"/>
    </xf>
    <xf numFmtId="0" fontId="38" fillId="24" borderId="35" xfId="39" applyFont="1" applyFill="1" applyBorder="1" applyAlignment="1" applyProtection="1">
      <alignment horizontal="right" vertical="center" wrapText="1"/>
    </xf>
    <xf numFmtId="0" fontId="6" fillId="0" borderId="35" xfId="38" applyBorder="1" applyAlignment="1">
      <alignment horizontal="right"/>
    </xf>
    <xf numFmtId="0" fontId="6" fillId="0" borderId="55" xfId="38" applyBorder="1" applyAlignment="1">
      <alignment horizontal="right"/>
    </xf>
    <xf numFmtId="0" fontId="23" fillId="24" borderId="0" xfId="38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8" fillId="0" borderId="35" xfId="0" applyFont="1" applyFill="1" applyBorder="1" applyAlignment="1" applyProtection="1">
      <alignment horizontal="center"/>
    </xf>
    <xf numFmtId="0" fontId="48" fillId="0" borderId="35" xfId="0" applyFont="1" applyFill="1" applyBorder="1" applyAlignment="1">
      <alignment horizontal="center"/>
    </xf>
    <xf numFmtId="0" fontId="62" fillId="0" borderId="0" xfId="39" applyFont="1" applyFill="1" applyBorder="1" applyAlignment="1" applyProtection="1">
      <alignment horizontal="right" vertical="top" wrapText="1"/>
    </xf>
    <xf numFmtId="170" fontId="62" fillId="0" borderId="0" xfId="39" quotePrefix="1" applyNumberFormat="1" applyFont="1" applyFill="1" applyBorder="1" applyAlignment="1" applyProtection="1">
      <alignment horizontal="right" vertical="top" wrapTex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HartmannOronaSpreadsheet" xfId="38"/>
    <cellStyle name="Normal_ScrumMaster" xfId="39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81"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0"/>
      <tableStyleElement type="headerRow" dxfId="7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Calculations!$A$44</c:f>
          <c:strCache>
            <c:ptCount val="1"/>
            <c:pt idx="0">
              <c:v>Washington Redskins
Team Burndown Chart -- Embrace Reality</c:v>
            </c:pt>
          </c:strCache>
        </c:strRef>
      </c:tx>
      <c:layout>
        <c:manualLayout>
          <c:xMode val="edge"/>
          <c:yMode val="edge"/>
          <c:x val="1.1721611721611722E-2"/>
          <c:y val="1.768933112216694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l"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31868131868126E-2"/>
          <c:y val="0.18090452261306533"/>
          <c:w val="0.86923076923076925"/>
          <c:h val="0.63316582914572861"/>
        </c:manualLayout>
      </c:layout>
      <c:areaChart>
        <c:grouping val="standard"/>
        <c:varyColors val="0"/>
        <c:ser>
          <c:idx val="0"/>
          <c:order val="0"/>
          <c:tx>
            <c:v>Effort Remaining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tint val="83529"/>
                    <a:invGamma/>
                  </a:srgbClr>
                </a:gs>
              </a:gsLst>
              <a:lin ang="5400000" scaled="1"/>
            </a:gradFill>
            <a:ln w="3175">
              <a:solidFill>
                <a:srgbClr val="CC99FF"/>
              </a:solidFill>
              <a:prstDash val="solid"/>
            </a:ln>
          </c:spP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[0]!EffortRemainingSeriesData</c:f>
              <c:numCache>
                <c:formatCode>0.00_);[Red]\(0.00\)</c:formatCode>
                <c:ptCount val="12"/>
                <c:pt idx="0">
                  <c:v>117</c:v>
                </c:pt>
                <c:pt idx="1">
                  <c:v>103</c:v>
                </c:pt>
                <c:pt idx="2">
                  <c:v>89</c:v>
                </c:pt>
                <c:pt idx="3">
                  <c:v>76</c:v>
                </c:pt>
                <c:pt idx="4">
                  <c:v>65</c:v>
                </c:pt>
                <c:pt idx="5">
                  <c:v>61</c:v>
                </c:pt>
                <c:pt idx="6">
                  <c:v>60</c:v>
                </c:pt>
                <c:pt idx="7">
                  <c:v>54</c:v>
                </c:pt>
                <c:pt idx="8">
                  <c:v>54</c:v>
                </c:pt>
                <c:pt idx="9">
                  <c:v>46</c:v>
                </c:pt>
                <c:pt idx="10">
                  <c:v>40</c:v>
                </c:pt>
                <c:pt idx="11">
                  <c:v>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9A-4644-9260-915EAB42F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133968"/>
        <c:axId val="579131248"/>
      </c:areaChart>
      <c:lineChart>
        <c:grouping val="standard"/>
        <c:varyColors val="0"/>
        <c:ser>
          <c:idx val="2"/>
          <c:order val="1"/>
          <c:tx>
            <c:v>Planned Burndown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[0]!OptimalBurndownPathSeriesData</c:f>
              <c:numCache>
                <c:formatCode>0.00_);[Red]\(0.00\)</c:formatCode>
                <c:ptCount val="12"/>
                <c:pt idx="0">
                  <c:v>117</c:v>
                </c:pt>
                <c:pt idx="1">
                  <c:v>100</c:v>
                </c:pt>
                <c:pt idx="2">
                  <c:v>83</c:v>
                </c:pt>
                <c:pt idx="3">
                  <c:v>60</c:v>
                </c:pt>
                <c:pt idx="4">
                  <c:v>42</c:v>
                </c:pt>
                <c:pt idx="5">
                  <c:v>27</c:v>
                </c:pt>
                <c:pt idx="6">
                  <c:v>14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B9A-4644-9260-915EAB42FBFA}"/>
            </c:ext>
          </c:extLst>
        </c:ser>
        <c:ser>
          <c:idx val="5"/>
          <c:order val="2"/>
          <c:tx>
            <c:v>Current Velocity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[0]!ActualTrendSeriesData</c:f>
              <c:numCache>
                <c:formatCode>0.00_);[Red]\(0.00\)</c:formatCode>
                <c:ptCount val="11"/>
                <c:pt idx="0">
                  <c:v>117</c:v>
                </c:pt>
                <c:pt idx="1">
                  <c:v>109.3</c:v>
                </c:pt>
                <c:pt idx="2">
                  <c:v>101.6</c:v>
                </c:pt>
                <c:pt idx="3">
                  <c:v>93.899999999999991</c:v>
                </c:pt>
                <c:pt idx="4">
                  <c:v>86.199999999999989</c:v>
                </c:pt>
                <c:pt idx="5">
                  <c:v>78.499999999999986</c:v>
                </c:pt>
                <c:pt idx="6">
                  <c:v>70.799999999999983</c:v>
                </c:pt>
                <c:pt idx="7">
                  <c:v>63.09999999999998</c:v>
                </c:pt>
                <c:pt idx="8">
                  <c:v>55.399999999999977</c:v>
                </c:pt>
                <c:pt idx="9">
                  <c:v>47.699999999999974</c:v>
                </c:pt>
                <c:pt idx="10">
                  <c:v>39.999999999999972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B9A-4644-9260-915EAB42FBFA}"/>
            </c:ext>
          </c:extLst>
        </c:ser>
        <c:ser>
          <c:idx val="4"/>
          <c:order val="3"/>
          <c:tx>
            <c:v>Trend Velocity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dPt>
            <c:idx val="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3B9A-4644-9260-915EAB42FBFA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3B9A-4644-9260-915EAB42FBFA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3B9A-4644-9260-915EAB42FBFA}"/>
              </c:ext>
            </c:extLst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3B9A-4644-9260-915EAB42FBFA}"/>
              </c:ext>
            </c:extLst>
          </c:dPt>
          <c:dPt>
            <c:idx val="9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3B9A-4644-9260-915EAB42FBFA}"/>
              </c:ext>
            </c:extLst>
          </c:dPt>
          <c:dPt>
            <c:idx val="10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3B9A-4644-9260-915EAB42FBFA}"/>
              </c:ext>
            </c:extLst>
          </c:dPt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[0]!PessimisticProjectionSeriesData</c:f>
              <c:numCache>
                <c:formatCode>#,##0.00_);[Red]\(#,##0.00\)</c:formatCode>
                <c:ptCount val="12"/>
                <c:pt idx="10">
                  <c:v>40</c:v>
                </c:pt>
                <c:pt idx="11">
                  <c:v>32.300000190734863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3B9A-4644-9260-915EAB42FBFA}"/>
            </c:ext>
          </c:extLst>
        </c:ser>
        <c:ser>
          <c:idx val="3"/>
          <c:order val="4"/>
          <c:tx>
            <c:v>Planned Velocity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dPt>
            <c:idx val="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3B9A-4644-9260-915EAB42FBFA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B-3B9A-4644-9260-915EAB42FBFA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C-3B9A-4644-9260-915EAB42FBFA}"/>
              </c:ext>
            </c:extLst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3B9A-4644-9260-915EAB42FBFA}"/>
              </c:ext>
            </c:extLst>
          </c:dPt>
          <c:dPt>
            <c:idx val="9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E-3B9A-4644-9260-915EAB42FBFA}"/>
              </c:ext>
            </c:extLst>
          </c:dPt>
          <c:dPt>
            <c:idx val="10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F-3B9A-4644-9260-915EAB42FBFA}"/>
              </c:ext>
            </c:extLst>
          </c:dPt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[0]!OptimisticProjectionSeriesData</c:f>
              <c:numCache>
                <c:formatCode>#,##0.00_);[Red]\(#,##0.00\)</c:formatCode>
                <c:ptCount val="12"/>
                <c:pt idx="10">
                  <c:v>40</c:v>
                </c:pt>
                <c:pt idx="11">
                  <c:v>40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3B9A-4644-9260-915EAB42FBFA}"/>
            </c:ext>
          </c:extLst>
        </c:ser>
        <c:ser>
          <c:idx val="1"/>
          <c:order val="5"/>
          <c:tx>
            <c:v>Tasks Remaining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00"/>
              </a:solidFill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[0]!TasksRemainingSeriesData</c:f>
              <c:numCache>
                <c:formatCode>General</c:formatCode>
                <c:ptCount val="12"/>
                <c:pt idx="0">
                  <c:v>24</c:v>
                </c:pt>
                <c:pt idx="1">
                  <c:v>23</c:v>
                </c:pt>
                <c:pt idx="2">
                  <c:v>23</c:v>
                </c:pt>
                <c:pt idx="3">
                  <c:v>20</c:v>
                </c:pt>
                <c:pt idx="4">
                  <c:v>16</c:v>
                </c:pt>
                <c:pt idx="5">
                  <c:v>14</c:v>
                </c:pt>
                <c:pt idx="6">
                  <c:v>14</c:v>
                </c:pt>
                <c:pt idx="7">
                  <c:v>13</c:v>
                </c:pt>
                <c:pt idx="8">
                  <c:v>13</c:v>
                </c:pt>
                <c:pt idx="9">
                  <c:v>12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3B9A-4644-9260-915EAB42F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133968"/>
        <c:axId val="579131248"/>
      </c:lineChart>
      <c:catAx>
        <c:axId val="579133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9131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79131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_);[Red]\(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9133968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54510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071507150715072"/>
          <c:y val="0.13926174496644295"/>
          <c:w val="0.84928492849284931"/>
          <c:h val="3.35570469798657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36668511403386"/>
          <c:y val="0.11260068359464487"/>
          <c:w val="0.75162729610142698"/>
          <c:h val="0.59249407320039327"/>
        </c:manualLayout>
      </c:layout>
      <c:lineChart>
        <c:grouping val="standard"/>
        <c:varyColors val="0"/>
        <c:ser>
          <c:idx val="0"/>
          <c:order val="0"/>
          <c:tx>
            <c:strRef>
              <c:f>'Team Member Burndown'!$A$6</c:f>
              <c:strCache>
                <c:ptCount val="1"/>
                <c:pt idx="0">
                  <c:v>JD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[0]!IndividualBurndownSeries1</c:f>
              <c:numCache>
                <c:formatCode>#,##0_);[Red]\(#,##0\)</c:formatCode>
                <c:ptCount val="11"/>
                <c:pt idx="0">
                  <c:v>14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8D-42BD-A691-312A0929AC4F}"/>
            </c:ext>
          </c:extLst>
        </c:ser>
        <c:ser>
          <c:idx val="1"/>
          <c:order val="1"/>
          <c:tx>
            <c:strRef>
              <c:f>'Team Member Burndown'!$A$7</c:f>
              <c:strCache>
                <c:ptCount val="1"/>
                <c:pt idx="0">
                  <c:v>DW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[0]!IndividualBurndownSeries2</c:f>
              <c:numCache>
                <c:formatCode>#,##0_);[Red]\(#,##0\)</c:formatCode>
                <c:ptCount val="11"/>
                <c:pt idx="0">
                  <c:v>14</c:v>
                </c:pt>
                <c:pt idx="1">
                  <c:v>14</c:v>
                </c:pt>
                <c:pt idx="2">
                  <c:v>12</c:v>
                </c:pt>
                <c:pt idx="3">
                  <c:v>11</c:v>
                </c:pt>
                <c:pt idx="4">
                  <c:v>10</c:v>
                </c:pt>
                <c:pt idx="5">
                  <c:v>10</c:v>
                </c:pt>
                <c:pt idx="6">
                  <c:v>8</c:v>
                </c:pt>
                <c:pt idx="7">
                  <c:v>8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8D-42BD-A691-312A0929AC4F}"/>
            </c:ext>
          </c:extLst>
        </c:ser>
        <c:ser>
          <c:idx val="2"/>
          <c:order val="2"/>
          <c:tx>
            <c:strRef>
              <c:f>'Team Member Burndown'!$A$8</c:f>
              <c:strCache>
                <c:ptCount val="1"/>
                <c:pt idx="0">
                  <c:v>LJ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[0]!IndividualBurndownSeries3</c:f>
              <c:numCache>
                <c:formatCode>#,##0_);[Red]\(#,##0\)</c:formatCode>
                <c:ptCount val="11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15</c:v>
                </c:pt>
                <c:pt idx="6">
                  <c:v>13</c:v>
                </c:pt>
                <c:pt idx="7">
                  <c:v>13</c:v>
                </c:pt>
                <c:pt idx="8">
                  <c:v>9</c:v>
                </c:pt>
                <c:pt idx="9">
                  <c:v>7</c:v>
                </c:pt>
                <c:pt idx="10">
                  <c:v>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8D-42BD-A691-312A0929AC4F}"/>
            </c:ext>
          </c:extLst>
        </c:ser>
        <c:ser>
          <c:idx val="3"/>
          <c:order val="3"/>
          <c:tx>
            <c:strRef>
              <c:f>'Team Member Burndown'!$A$9</c:f>
              <c:strCache>
                <c:ptCount val="1"/>
                <c:pt idx="0">
                  <c:v>RT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[0]!IndividualBurndownSeries4</c:f>
              <c:numCache>
                <c:formatCode>#,##0_);[Red]\(#,##0\)</c:formatCode>
                <c:ptCount val="11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C8D-42BD-A691-312A0929AC4F}"/>
            </c:ext>
          </c:extLst>
        </c:ser>
        <c:ser>
          <c:idx val="4"/>
          <c:order val="4"/>
          <c:tx>
            <c:strRef>
              <c:f>'Team Member Burndown'!$A$10</c:f>
              <c:strCache>
                <c:ptCount val="1"/>
                <c:pt idx="0">
                  <c:v>MC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[0]!IndividualBurndownSeries5</c:f>
              <c:numCache>
                <c:formatCode>#,##0_);[Red]\(#,##0\)</c:formatCode>
                <c:ptCount val="11"/>
                <c:pt idx="0">
                  <c:v>21</c:v>
                </c:pt>
                <c:pt idx="1">
                  <c:v>18</c:v>
                </c:pt>
                <c:pt idx="2">
                  <c:v>18</c:v>
                </c:pt>
                <c:pt idx="3">
                  <c:v>17</c:v>
                </c:pt>
                <c:pt idx="4">
                  <c:v>16</c:v>
                </c:pt>
                <c:pt idx="5">
                  <c:v>14</c:v>
                </c:pt>
                <c:pt idx="6">
                  <c:v>13</c:v>
                </c:pt>
                <c:pt idx="7">
                  <c:v>13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7C8D-42BD-A691-312A0929AC4F}"/>
            </c:ext>
          </c:extLst>
        </c:ser>
        <c:ser>
          <c:idx val="5"/>
          <c:order val="5"/>
          <c:tx>
            <c:strRef>
              <c:f>'Team Member Burndown'!$A$11</c:f>
              <c:strCache>
                <c:ptCount val="1"/>
                <c:pt idx="0">
                  <c:v>COC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[0]!IndividualBurndownSeries6</c:f>
              <c:numCache>
                <c:formatCode>#,##0_);[Red]\(#,##0\)</c:formatCode>
                <c:ptCount val="11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7C8D-42BD-A691-312A0929AC4F}"/>
            </c:ext>
          </c:extLst>
        </c:ser>
        <c:ser>
          <c:idx val="6"/>
          <c:order val="6"/>
          <c:tx>
            <c:strRef>
              <c:f>'Team Member Burndown'!$A$12</c:f>
              <c:strCache>
                <c:ptCount val="1"/>
                <c:pt idx="0">
                  <c:v>CM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[0]!IndividualBurndownSeries7</c:f>
              <c:numCache>
                <c:formatCode>#,##0_);[Red]\(#,##0\)</c:formatCode>
                <c:ptCount val="11"/>
                <c:pt idx="0">
                  <c:v>22</c:v>
                </c:pt>
                <c:pt idx="1">
                  <c:v>21</c:v>
                </c:pt>
                <c:pt idx="2">
                  <c:v>19</c:v>
                </c:pt>
                <c:pt idx="3">
                  <c:v>14</c:v>
                </c:pt>
                <c:pt idx="4">
                  <c:v>8</c:v>
                </c:pt>
                <c:pt idx="5">
                  <c:v>6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7C8D-42BD-A691-312A0929AC4F}"/>
            </c:ext>
          </c:extLst>
        </c:ser>
        <c:ser>
          <c:idx val="7"/>
          <c:order val="7"/>
          <c:tx>
            <c:strRef>
              <c:f>'Team Member Burndown'!$A$13</c:f>
              <c:strCache>
                <c:ptCount val="1"/>
                <c:pt idx="0">
                  <c:v>CMRT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[0]!IndividualBurndownSeries8</c:f>
              <c:numCache>
                <c:formatCode>#,##0_);[Red]\(#,##0\)</c:formatCode>
                <c:ptCount val="11"/>
                <c:pt idx="0">
                  <c:v>6</c:v>
                </c:pt>
                <c:pt idx="1">
                  <c:v>8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7C8D-42BD-A691-312A0929AC4F}"/>
            </c:ext>
          </c:extLst>
        </c:ser>
        <c:ser>
          <c:idx val="8"/>
          <c:order val="8"/>
          <c:tx>
            <c:strRef>
              <c:f>'Team Member Burndown'!$A$14</c:f>
              <c:strCache>
                <c:ptCount val="1"/>
                <c:pt idx="0">
                  <c:v>LJCOC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Mon, Oct-24</c:v>
                </c:pt>
                <c:pt idx="2">
                  <c:v>Tue, Oct-25</c:v>
                </c:pt>
                <c:pt idx="3">
                  <c:v>Wed, Oct-26</c:v>
                </c:pt>
                <c:pt idx="4">
                  <c:v>Thu, Oct-27</c:v>
                </c:pt>
                <c:pt idx="5">
                  <c:v>Fri, Oct-28</c:v>
                </c:pt>
                <c:pt idx="6">
                  <c:v>Sat, Oct-29</c:v>
                </c:pt>
                <c:pt idx="7">
                  <c:v>Mon, Oct-31</c:v>
                </c:pt>
                <c:pt idx="8">
                  <c:v>Tue, Nov-01</c:v>
                </c:pt>
                <c:pt idx="9">
                  <c:v>Wed, Nov-02</c:v>
                </c:pt>
                <c:pt idx="10">
                  <c:v>Thu, Nov-03</c:v>
                </c:pt>
                <c:pt idx="11">
                  <c:v>Fri, Nov-04</c:v>
                </c:pt>
              </c:strCache>
            </c:strRef>
          </c:cat>
          <c:val>
            <c:numRef>
              <c:f>[0]!IndividualBurndownSeries9</c:f>
              <c:numCache>
                <c:formatCode>#,##0_);[Red]\(#,##0\)</c:formatCode>
                <c:ptCount val="11"/>
                <c:pt idx="0">
                  <c:v>5</c:v>
                </c:pt>
                <c:pt idx="1">
                  <c:v>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7C8D-42BD-A691-312A0929AC4F}"/>
            </c:ext>
          </c:extLst>
        </c:ser>
        <c:ser>
          <c:idx val="9"/>
          <c:order val="9"/>
          <c:tx>
            <c:strRef>
              <c:f>'Team Member Burndown'!$A$15</c:f>
              <c:strCache>
                <c:ptCount val="1"/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[0]!IndividualBurndownSeriesDates</c:f>
              <c:strCache>
                <c:ptCount val="1"/>
                <c:pt idx="0">
                  <c:v>start</c:v>
                </c:pt>
              </c:strCache>
            </c:strRef>
          </c:cat>
          <c:val>
            <c:numRef>
              <c:f>[0]!IndividualBurndownSeries10</c:f>
              <c:numCache>
                <c:formatCode>#,##0_);[Red]\(#,##0\)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7C8D-42BD-A691-312A0929A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137776"/>
        <c:axId val="579133424"/>
      </c:lineChart>
      <c:catAx>
        <c:axId val="579137776"/>
        <c:scaling>
          <c:orientation val="minMax"/>
        </c:scaling>
        <c:delete val="0"/>
        <c:axPos val="b"/>
        <c:numFmt formatCode="ddd\,\ mmm\-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9133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91334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Hours  Remaining .</a:t>
                </a:r>
              </a:p>
            </c:rich>
          </c:tx>
          <c:layout>
            <c:manualLayout>
              <c:xMode val="edge"/>
              <c:yMode val="edge"/>
              <c:x val="9.8988439306358381E-2"/>
              <c:y val="0.15013432972352986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9137776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42353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229934924078091E-3"/>
          <c:y val="0.18230591149296685"/>
          <c:w val="6.9414316702819959E-2"/>
          <c:h val="0.423593056229901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TeamBurndownChart">
    <tabColor indexed="48"/>
  </sheetPr>
  <sheetViews>
    <sheetView workbookViewId="0"/>
  </sheetViews>
  <pageMargins left="0.7" right="0.7" top="1.05" bottom="1.05" header="0.5" footer="0.5"/>
  <pageSetup orientation="landscape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CheckBox" checked="Checked" fmlaLink="$A$3" lockText="1" noThreeD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600075</xdr:rowOff>
        </xdr:from>
        <xdr:to>
          <xdr:col>1</xdr:col>
          <xdr:colOff>1019175</xdr:colOff>
          <xdr:row>2</xdr:row>
          <xdr:rowOff>57150</xdr:rowOff>
        </xdr:to>
        <xdr:sp macro="" textlink="">
          <xdr:nvSpPr>
            <xdr:cNvPr id="1025" name="uixUseOwn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Use drop-down list for task owners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1000125</xdr:colOff>
          <xdr:row>2</xdr:row>
          <xdr:rowOff>371475</xdr:rowOff>
        </xdr:to>
        <xdr:sp macro="" textlink="">
          <xdr:nvSpPr>
            <xdr:cNvPr id="1026" name="uixDataEntryDoneForDa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All burndown entered for current day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5743575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0.57216</cdr:x>
      <cdr:y>0.04588</cdr:y>
    </cdr:from>
    <cdr:to>
      <cdr:x>0.76264</cdr:x>
      <cdr:y>0.07407</cdr:y>
    </cdr:to>
    <cdr:sp macro="" textlink="">
      <cdr:nvSpPr>
        <cdr:cNvPr id="14342" name="PlannedEndDateLabel">
          <a:extLst xmlns:a="http://schemas.openxmlformats.org/drawingml/2006/main">
            <a:ext uri="{FF2B5EF4-FFF2-40B4-BE49-F238E27FC236}">
              <a16:creationId xmlns="" xmlns:a16="http://schemas.microsoft.com/office/drawing/2014/main" id="{5A4F0E1B-6000-445E-B73C-BE0BF115EF8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59350" y="26352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Scheduled Sprint End Date</a:t>
          </a:r>
        </a:p>
      </cdr:txBody>
    </cdr:sp>
  </cdr:relSizeAnchor>
  <cdr:relSizeAnchor xmlns:cdr="http://schemas.openxmlformats.org/drawingml/2006/chartDrawing">
    <cdr:from>
      <cdr:x>0.57216</cdr:x>
      <cdr:y>0.07407</cdr:y>
    </cdr:from>
    <cdr:to>
      <cdr:x>0.76264</cdr:x>
      <cdr:y>0.10227</cdr:y>
    </cdr:to>
    <cdr:sp macro="" textlink="">
      <cdr:nvSpPr>
        <cdr:cNvPr id="14357" name="TrendingEndDateLabel">
          <a:extLst xmlns:a="http://schemas.openxmlformats.org/drawingml/2006/main">
            <a:ext uri="{FF2B5EF4-FFF2-40B4-BE49-F238E27FC236}">
              <a16:creationId xmlns="" xmlns:a16="http://schemas.microsoft.com/office/drawing/2014/main" id="{F08DE9D3-3094-4726-804F-A18661345A17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59350" y="42545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FF9900"/>
              </a:solidFill>
              <a:latin typeface="Arial"/>
              <a:cs typeface="Arial"/>
            </a:rPr>
            <a:t>Trend Velocity End Date</a:t>
          </a:r>
        </a:p>
      </cdr:txBody>
    </cdr:sp>
  </cdr:relSizeAnchor>
  <cdr:relSizeAnchor xmlns:cdr="http://schemas.openxmlformats.org/drawingml/2006/chartDrawing">
    <cdr:from>
      <cdr:x>0.57216</cdr:x>
      <cdr:y>0.10227</cdr:y>
    </cdr:from>
    <cdr:to>
      <cdr:x>0.76264</cdr:x>
      <cdr:y>0.13046</cdr:y>
    </cdr:to>
    <cdr:sp macro="" textlink="">
      <cdr:nvSpPr>
        <cdr:cNvPr id="14354" name="OptimisticEndDateLabel">
          <a:extLst xmlns:a="http://schemas.openxmlformats.org/drawingml/2006/main">
            <a:ext uri="{FF2B5EF4-FFF2-40B4-BE49-F238E27FC236}">
              <a16:creationId xmlns="" xmlns:a16="http://schemas.microsoft.com/office/drawing/2014/main" id="{DE195E12-A6F8-4B15-88DA-B013977FEDDA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59350" y="58737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339966"/>
              </a:solidFill>
              <a:latin typeface="Arial"/>
              <a:cs typeface="Arial"/>
            </a:rPr>
            <a:t>Planned Velocity End Date</a:t>
          </a:r>
        </a:p>
      </cdr:txBody>
    </cdr:sp>
  </cdr:relSizeAnchor>
  <cdr:relSizeAnchor xmlns:cdr="http://schemas.openxmlformats.org/drawingml/2006/chartDrawing">
    <cdr:from>
      <cdr:x>0.57216</cdr:x>
      <cdr:y>0.01769</cdr:y>
    </cdr:from>
    <cdr:to>
      <cdr:x>0.76264</cdr:x>
      <cdr:y>0.04588</cdr:y>
    </cdr:to>
    <cdr:sp macro="" textlink="">
      <cdr:nvSpPr>
        <cdr:cNvPr id="14363" name="CurrentDateLabel">
          <a:extLst xmlns:a="http://schemas.openxmlformats.org/drawingml/2006/main">
            <a:ext uri="{FF2B5EF4-FFF2-40B4-BE49-F238E27FC236}">
              <a16:creationId xmlns="" xmlns:a16="http://schemas.microsoft.com/office/drawing/2014/main" id="{943CEADC-E4A9-478E-9A30-85FDB3DB1E5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59350" y="10160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Current Date For Calculations</a:t>
          </a:r>
        </a:p>
      </cdr:txBody>
    </cdr:sp>
  </cdr:relSizeAnchor>
  <cdr:relSizeAnchor xmlns:cdr="http://schemas.openxmlformats.org/drawingml/2006/chartDrawing">
    <cdr:from>
      <cdr:x>0.76264</cdr:x>
      <cdr:y>0.01769</cdr:y>
    </cdr:from>
    <cdr:to>
      <cdr:x>0.87253</cdr:x>
      <cdr:y>0.04588</cdr:y>
    </cdr:to>
    <cdr:sp macro="" textlink="">
      <cdr:nvSpPr>
        <cdr:cNvPr id="26" name="CurrentDate"/>
        <cdr:cNvSpPr txBox="1"/>
      </cdr:nvSpPr>
      <cdr:spPr>
        <a:xfrm xmlns:a="http://schemas.openxmlformats.org/drawingml/2006/main">
          <a:off x="6610350" y="10160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Thu Nov 03, 2016</a:t>
          </a:r>
        </a:p>
      </cdr:txBody>
    </cdr:sp>
  </cdr:relSizeAnchor>
  <cdr:relSizeAnchor xmlns:cdr="http://schemas.openxmlformats.org/drawingml/2006/chartDrawing">
    <cdr:from>
      <cdr:x>0.76264</cdr:x>
      <cdr:y>0.04588</cdr:y>
    </cdr:from>
    <cdr:to>
      <cdr:x>0.87253</cdr:x>
      <cdr:y>0.07407</cdr:y>
    </cdr:to>
    <cdr:sp macro="" textlink="">
      <cdr:nvSpPr>
        <cdr:cNvPr id="27" name="PlannedEndDate"/>
        <cdr:cNvSpPr txBox="1"/>
      </cdr:nvSpPr>
      <cdr:spPr>
        <a:xfrm xmlns:a="http://schemas.openxmlformats.org/drawingml/2006/main">
          <a:off x="6610350" y="26352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Fri Nov 04, 2016</a:t>
          </a:r>
        </a:p>
      </cdr:txBody>
    </cdr:sp>
  </cdr:relSizeAnchor>
  <cdr:relSizeAnchor xmlns:cdr="http://schemas.openxmlformats.org/drawingml/2006/chartDrawing">
    <cdr:from>
      <cdr:x>0.76264</cdr:x>
      <cdr:y>0.07407</cdr:y>
    </cdr:from>
    <cdr:to>
      <cdr:x>0.87253</cdr:x>
      <cdr:y>0.10227</cdr:y>
    </cdr:to>
    <cdr:sp macro="" textlink="">
      <cdr:nvSpPr>
        <cdr:cNvPr id="28" name="TrendingEndDate"/>
        <cdr:cNvSpPr txBox="1"/>
      </cdr:nvSpPr>
      <cdr:spPr>
        <a:xfrm xmlns:a="http://schemas.openxmlformats.org/drawingml/2006/main">
          <a:off x="6610350" y="42545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0000"/>
              </a:solidFill>
              <a:latin typeface="Arial" panose="020B0604020202020204" pitchFamily="34" charset="0"/>
            </a:rPr>
            <a:t>Wed Nov 09, 2016</a:t>
          </a:r>
        </a:p>
      </cdr:txBody>
    </cdr:sp>
  </cdr:relSizeAnchor>
  <cdr:relSizeAnchor xmlns:cdr="http://schemas.openxmlformats.org/drawingml/2006/chartDrawing">
    <cdr:from>
      <cdr:x>0.87253</cdr:x>
      <cdr:y>0.07407</cdr:y>
    </cdr:from>
    <cdr:to>
      <cdr:x>0.93846</cdr:x>
      <cdr:y>0.10227</cdr:y>
    </cdr:to>
    <cdr:sp macro="" textlink="">
      <cdr:nvSpPr>
        <cdr:cNvPr id="29" name="TrendingVariancePercent"/>
        <cdr:cNvSpPr txBox="1"/>
      </cdr:nvSpPr>
      <cdr:spPr>
        <a:xfrm xmlns:a="http://schemas.openxmlformats.org/drawingml/2006/main">
          <a:off x="756285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0000"/>
              </a:solidFill>
              <a:latin typeface="Arial" panose="020B0604020202020204" pitchFamily="34" charset="0"/>
            </a:rPr>
            <a:t>-45.45%</a:t>
          </a:r>
        </a:p>
      </cdr:txBody>
    </cdr:sp>
  </cdr:relSizeAnchor>
  <cdr:relSizeAnchor xmlns:cdr="http://schemas.openxmlformats.org/drawingml/2006/chartDrawing">
    <cdr:from>
      <cdr:x>0.93407</cdr:x>
      <cdr:y>0.07407</cdr:y>
    </cdr:from>
    <cdr:to>
      <cdr:x>1</cdr:x>
      <cdr:y>0.10227</cdr:y>
    </cdr:to>
    <cdr:sp macro="" textlink="">
      <cdr:nvSpPr>
        <cdr:cNvPr id="30" name="TrendingVariance"/>
        <cdr:cNvSpPr txBox="1"/>
      </cdr:nvSpPr>
      <cdr:spPr>
        <a:xfrm xmlns:a="http://schemas.openxmlformats.org/drawingml/2006/main">
          <a:off x="809625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0000"/>
              </a:solidFill>
              <a:latin typeface="Arial" panose="020B0604020202020204" pitchFamily="34" charset="0"/>
            </a:rPr>
            <a:t>5 days</a:t>
          </a:r>
        </a:p>
      </cdr:txBody>
    </cdr:sp>
  </cdr:relSizeAnchor>
  <cdr:relSizeAnchor xmlns:cdr="http://schemas.openxmlformats.org/drawingml/2006/chartDrawing">
    <cdr:from>
      <cdr:x>0.76264</cdr:x>
      <cdr:y>0.10227</cdr:y>
    </cdr:from>
    <cdr:to>
      <cdr:x>0.87253</cdr:x>
      <cdr:y>0.13046</cdr:y>
    </cdr:to>
    <cdr:sp macro="" textlink="">
      <cdr:nvSpPr>
        <cdr:cNvPr id="31" name="OptimisticEndDate"/>
        <cdr:cNvSpPr txBox="1"/>
      </cdr:nvSpPr>
      <cdr:spPr>
        <a:xfrm xmlns:a="http://schemas.openxmlformats.org/drawingml/2006/main">
          <a:off x="6610350" y="58737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Never</a:t>
          </a:r>
        </a:p>
      </cdr:txBody>
    </cdr:sp>
  </cdr:relSizeAnchor>
  <cdr:relSizeAnchor xmlns:cdr="http://schemas.openxmlformats.org/drawingml/2006/chartDrawing">
    <cdr:from>
      <cdr:x>0.87253</cdr:x>
      <cdr:y>0.10227</cdr:y>
    </cdr:from>
    <cdr:to>
      <cdr:x>0.93846</cdr:x>
      <cdr:y>0.13046</cdr:y>
    </cdr:to>
    <cdr:sp macro="" textlink="">
      <cdr:nvSpPr>
        <cdr:cNvPr id="32" name="OptimisticVariancePercent"/>
        <cdr:cNvSpPr txBox="1"/>
      </cdr:nvSpPr>
      <cdr:spPr>
        <a:xfrm xmlns:a="http://schemas.openxmlformats.org/drawingml/2006/main">
          <a:off x="756285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800000"/>
            </a:solidFill>
            <a:latin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0.93407</cdr:x>
      <cdr:y>0.10227</cdr:y>
    </cdr:from>
    <cdr:to>
      <cdr:x>1</cdr:x>
      <cdr:y>0.13046</cdr:y>
    </cdr:to>
    <cdr:sp macro="" textlink="">
      <cdr:nvSpPr>
        <cdr:cNvPr id="33" name="OptimisticVariance"/>
        <cdr:cNvSpPr txBox="1"/>
      </cdr:nvSpPr>
      <cdr:spPr>
        <a:xfrm xmlns:a="http://schemas.openxmlformats.org/drawingml/2006/main">
          <a:off x="809625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800000"/>
            </a:solidFill>
            <a:latin typeface="Arial" panose="020B0604020202020204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18</xdr:row>
      <xdr:rowOff>63500</xdr:rowOff>
    </xdr:from>
    <xdr:to>
      <xdr:col>38</xdr:col>
      <xdr:colOff>114300</xdr:colOff>
      <xdr:row>39</xdr:row>
      <xdr:rowOff>98425</xdr:rowOff>
    </xdr:to>
    <xdr:graphicFrame macro="">
      <xdr:nvGraphicFramePr>
        <xdr:cNvPr id="3082" name="Chart 1">
          <a:extLst>
            <a:ext uri="{FF2B5EF4-FFF2-40B4-BE49-F238E27FC236}">
              <a16:creationId xmlns="" xmlns:a16="http://schemas.microsoft.com/office/drawing/2014/main" id="{00000000-0008-0000-03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g.orona@gmail.com?subject=Hartmann%20Orona%20Scrum%20Spreadsheet" TargetMode="External"/><Relationship Id="rId2" Type="http://schemas.openxmlformats.org/officeDocument/2006/relationships/hyperlink" Target="mailto:dducoff@gmail.com?subject=Scrum%20spreadsheet" TargetMode="External"/><Relationship Id="rId1" Type="http://schemas.openxmlformats.org/officeDocument/2006/relationships/hyperlink" Target="http://wiki.scrums.org/index.cgi?DeborahHartmann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ningSheet">
    <tabColor indexed="47"/>
    <pageSetUpPr fitToPage="1"/>
  </sheetPr>
  <dimension ref="A1:T41"/>
  <sheetViews>
    <sheetView workbookViewId="0">
      <selection activeCell="K16" sqref="K16"/>
    </sheetView>
  </sheetViews>
  <sheetFormatPr defaultRowHeight="12" x14ac:dyDescent="0.2"/>
  <cols>
    <col min="1" max="2" width="22.7109375" style="1" customWidth="1"/>
    <col min="3" max="12" width="8.5703125" style="1" customWidth="1"/>
    <col min="13" max="16384" width="9.140625" style="1"/>
  </cols>
  <sheetData>
    <row r="1" spans="1:20" ht="37.5" customHeight="1" thickTop="1" thickBot="1" x14ac:dyDescent="0.25">
      <c r="A1" s="177" t="str">
        <f>[0]!WorksheetTitlePlanning</f>
        <v>Washington Redskins
Planning Worksheet -- Embrace Reality</v>
      </c>
      <c r="B1" s="177"/>
      <c r="C1" s="177"/>
      <c r="D1" s="177"/>
      <c r="E1" s="177"/>
      <c r="F1" s="168" t="s">
        <v>17</v>
      </c>
      <c r="G1" s="169"/>
      <c r="H1" s="170"/>
      <c r="I1" s="180" t="s">
        <v>0</v>
      </c>
      <c r="J1" s="181"/>
      <c r="K1" s="181"/>
      <c r="L1" s="182"/>
    </row>
    <row r="2" spans="1:20" ht="12" customHeight="1" thickTop="1" x14ac:dyDescent="0.2">
      <c r="A2" s="2" t="s">
        <v>1</v>
      </c>
      <c r="B2" s="3"/>
      <c r="C2" s="4"/>
      <c r="D2" s="5"/>
      <c r="E2" s="5"/>
      <c r="F2" s="5"/>
      <c r="G2" s="5"/>
      <c r="H2" s="5"/>
      <c r="I2" s="5"/>
      <c r="J2" s="5"/>
      <c r="K2" s="5"/>
      <c r="L2" s="5"/>
    </row>
    <row r="3" spans="1:20" ht="18" customHeight="1" thickBot="1" x14ac:dyDescent="0.25">
      <c r="A3" s="178" t="s">
        <v>2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20" ht="30" customHeight="1" x14ac:dyDescent="0.2">
      <c r="A4" s="208" t="s">
        <v>18</v>
      </c>
      <c r="B4" s="209"/>
      <c r="C4" s="206" t="s">
        <v>19</v>
      </c>
      <c r="D4" s="207"/>
      <c r="E4" s="183" t="s">
        <v>20</v>
      </c>
      <c r="F4" s="192"/>
      <c r="G4" s="191" t="s">
        <v>3</v>
      </c>
      <c r="H4" s="191"/>
      <c r="I4" s="179" t="s">
        <v>4</v>
      </c>
      <c r="J4" s="179"/>
      <c r="K4" s="183" t="s">
        <v>21</v>
      </c>
      <c r="L4" s="184"/>
    </row>
    <row r="5" spans="1:20" ht="18" customHeight="1" thickBot="1" x14ac:dyDescent="0.25">
      <c r="A5" s="195" t="s">
        <v>121</v>
      </c>
      <c r="B5" s="196"/>
      <c r="C5" s="210">
        <v>42667</v>
      </c>
      <c r="D5" s="210"/>
      <c r="E5" s="185">
        <v>12</v>
      </c>
      <c r="F5" s="185"/>
      <c r="G5" s="203">
        <f>[0]!NumberOfWorkingDaysInSprint</f>
        <v>11</v>
      </c>
      <c r="H5" s="203"/>
      <c r="I5" s="190" t="s">
        <v>110</v>
      </c>
      <c r="J5" s="190"/>
      <c r="K5" s="185">
        <v>8</v>
      </c>
      <c r="L5" s="186"/>
    </row>
    <row r="6" spans="1:20" ht="12" customHeight="1" x14ac:dyDescent="0.2">
      <c r="A6" s="3"/>
      <c r="B6" s="3"/>
      <c r="C6" s="6"/>
      <c r="D6" s="7"/>
      <c r="E6" s="7"/>
      <c r="F6" s="7"/>
      <c r="G6" s="7"/>
      <c r="H6" s="7"/>
      <c r="I6" s="7"/>
      <c r="J6" s="7"/>
      <c r="K6" s="7"/>
      <c r="L6" s="7"/>
    </row>
    <row r="7" spans="1:20" ht="18" customHeight="1" thickBot="1" x14ac:dyDescent="0.25">
      <c r="A7" s="178" t="s">
        <v>5</v>
      </c>
      <c r="B7" s="189"/>
      <c r="C7" s="189"/>
      <c r="D7" s="189"/>
      <c r="E7" s="189"/>
      <c r="F7" s="189"/>
      <c r="G7" s="189"/>
      <c r="H7" s="189"/>
      <c r="I7" s="189"/>
      <c r="J7" s="189"/>
      <c r="K7" s="189"/>
      <c r="L7" s="189"/>
      <c r="M7"/>
      <c r="N7"/>
      <c r="O7"/>
      <c r="P7" s="8"/>
      <c r="Q7" s="8"/>
      <c r="R7" s="8"/>
      <c r="S7" s="8"/>
      <c r="T7" s="8"/>
    </row>
    <row r="8" spans="1:20" ht="24" customHeight="1" x14ac:dyDescent="0.2">
      <c r="A8" s="171" t="s">
        <v>22</v>
      </c>
      <c r="B8" s="172"/>
      <c r="C8" s="9" t="s">
        <v>96</v>
      </c>
      <c r="D8" s="9" t="s">
        <v>97</v>
      </c>
      <c r="E8" s="9" t="s">
        <v>98</v>
      </c>
      <c r="F8" s="9" t="s">
        <v>99</v>
      </c>
      <c r="G8" s="9" t="s">
        <v>100</v>
      </c>
      <c r="H8" s="9" t="s">
        <v>101</v>
      </c>
      <c r="I8" s="9" t="s">
        <v>102</v>
      </c>
      <c r="J8" s="9" t="s">
        <v>144</v>
      </c>
      <c r="K8" s="9" t="s">
        <v>145</v>
      </c>
      <c r="L8" s="10"/>
      <c r="M8"/>
      <c r="N8"/>
      <c r="O8"/>
      <c r="P8" s="8"/>
      <c r="Q8" s="8"/>
      <c r="R8" s="8"/>
      <c r="S8" s="8"/>
      <c r="T8" s="8"/>
    </row>
    <row r="9" spans="1:20" ht="18" customHeight="1" x14ac:dyDescent="0.2">
      <c r="A9" s="173" t="s">
        <v>23</v>
      </c>
      <c r="B9" s="174"/>
      <c r="C9" s="11" t="s">
        <v>103</v>
      </c>
      <c r="D9" s="11" t="s">
        <v>104</v>
      </c>
      <c r="E9" s="11" t="s">
        <v>105</v>
      </c>
      <c r="F9" s="11" t="s">
        <v>106</v>
      </c>
      <c r="G9" s="11" t="s">
        <v>107</v>
      </c>
      <c r="H9" s="11" t="s">
        <v>108</v>
      </c>
      <c r="I9" s="11" t="s">
        <v>109</v>
      </c>
      <c r="J9" s="11" t="s">
        <v>146</v>
      </c>
      <c r="K9" s="11" t="s">
        <v>147</v>
      </c>
      <c r="L9" s="12"/>
      <c r="M9"/>
      <c r="N9"/>
      <c r="O9"/>
      <c r="P9" s="8"/>
      <c r="Q9" s="8"/>
      <c r="R9" s="8"/>
      <c r="S9" s="8"/>
      <c r="T9" s="8"/>
    </row>
    <row r="10" spans="1:20" ht="33" customHeight="1" x14ac:dyDescent="0.2">
      <c r="A10" s="204" t="s">
        <v>24</v>
      </c>
      <c r="B10" s="205"/>
      <c r="C10" s="13">
        <v>3.75</v>
      </c>
      <c r="D10" s="13">
        <v>3.75</v>
      </c>
      <c r="E10" s="13">
        <v>3</v>
      </c>
      <c r="F10" s="13">
        <v>2.875</v>
      </c>
      <c r="G10" s="13">
        <v>3.75</v>
      </c>
      <c r="H10" s="13">
        <v>3</v>
      </c>
      <c r="I10" s="13">
        <v>3</v>
      </c>
      <c r="J10" s="13">
        <v>0.75</v>
      </c>
      <c r="K10" s="13">
        <v>0.75</v>
      </c>
      <c r="L10" s="14">
        <v>0</v>
      </c>
      <c r="M10"/>
      <c r="N10"/>
      <c r="O10"/>
      <c r="P10" s="8"/>
      <c r="Q10" s="8"/>
      <c r="R10" s="8"/>
      <c r="S10" s="8"/>
      <c r="T10" s="8"/>
    </row>
    <row r="11" spans="1:20" ht="33" customHeight="1" thickBot="1" x14ac:dyDescent="0.25">
      <c r="A11" s="193" t="s">
        <v>25</v>
      </c>
      <c r="B11" s="194"/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6">
        <v>0</v>
      </c>
      <c r="M11"/>
      <c r="N11"/>
      <c r="O11"/>
      <c r="P11" s="8"/>
      <c r="Q11" s="8"/>
      <c r="R11" s="8"/>
      <c r="S11" s="8"/>
      <c r="T11" s="8"/>
    </row>
    <row r="12" spans="1:20" ht="18" customHeight="1" x14ac:dyDescent="0.2">
      <c r="A12" s="175" t="s">
        <v>26</v>
      </c>
      <c r="B12" s="176"/>
      <c r="C12" s="17">
        <f>C10 * [0]!NumberOfWorkHoursInDay</f>
        <v>30</v>
      </c>
      <c r="D12" s="17">
        <f>D10 * [0]!NumberOfWorkHoursInDay</f>
        <v>30</v>
      </c>
      <c r="E12" s="17">
        <f>E10 * [0]!NumberOfWorkHoursInDay</f>
        <v>24</v>
      </c>
      <c r="F12" s="17">
        <f>F10 * [0]!NumberOfWorkHoursInDay</f>
        <v>23</v>
      </c>
      <c r="G12" s="17">
        <f>G10 * [0]!NumberOfWorkHoursInDay</f>
        <v>30</v>
      </c>
      <c r="H12" s="17">
        <f>H10 * [0]!NumberOfWorkHoursInDay</f>
        <v>24</v>
      </c>
      <c r="I12" s="17">
        <f>I10 * [0]!NumberOfWorkHoursInDay</f>
        <v>24</v>
      </c>
      <c r="J12" s="17">
        <f>J10 * [0]!NumberOfWorkHoursInDay</f>
        <v>6</v>
      </c>
      <c r="K12" s="17">
        <f>K10 * [0]!NumberOfWorkHoursInDay</f>
        <v>6</v>
      </c>
      <c r="L12" s="18">
        <f>L10 * [0]!NumberOfWorkHoursInDay</f>
        <v>0</v>
      </c>
      <c r="M12"/>
      <c r="N12"/>
      <c r="O12"/>
      <c r="P12" s="8"/>
      <c r="Q12" s="8"/>
      <c r="R12" s="8"/>
      <c r="S12" s="8"/>
      <c r="T12" s="8"/>
    </row>
    <row r="13" spans="1:20" ht="18" customHeight="1" x14ac:dyDescent="0.2">
      <c r="A13" s="201" t="s">
        <v>27</v>
      </c>
      <c r="B13" s="202"/>
      <c r="C13" s="19">
        <f t="shared" ref="C13:L13" si="0" xml:space="preserve"> IF( C10 &gt; 0, ( 1 - C11 ), 0 )</f>
        <v>1</v>
      </c>
      <c r="D13" s="19">
        <f t="shared" si="0"/>
        <v>1</v>
      </c>
      <c r="E13" s="19">
        <f t="shared" si="0"/>
        <v>1</v>
      </c>
      <c r="F13" s="19">
        <f t="shared" si="0"/>
        <v>1</v>
      </c>
      <c r="G13" s="19">
        <f t="shared" si="0"/>
        <v>1</v>
      </c>
      <c r="H13" s="19">
        <f t="shared" si="0"/>
        <v>1</v>
      </c>
      <c r="I13" s="19">
        <f t="shared" si="0"/>
        <v>1</v>
      </c>
      <c r="J13" s="19">
        <f t="shared" si="0"/>
        <v>1</v>
      </c>
      <c r="K13" s="19">
        <f t="shared" si="0"/>
        <v>1</v>
      </c>
      <c r="L13" s="20">
        <f t="shared" si="0"/>
        <v>0</v>
      </c>
      <c r="M13"/>
      <c r="N13"/>
      <c r="O13"/>
      <c r="P13" s="8"/>
      <c r="Q13" s="8"/>
      <c r="R13" s="8"/>
      <c r="S13" s="8"/>
      <c r="T13" s="8"/>
    </row>
    <row r="14" spans="1:20" ht="18" customHeight="1" x14ac:dyDescent="0.2">
      <c r="A14" s="197" t="s">
        <v>28</v>
      </c>
      <c r="B14" s="198"/>
      <c r="C14" s="21">
        <f t="shared" ref="C14:L14" si="1">C12 * C13</f>
        <v>30</v>
      </c>
      <c r="D14" s="21">
        <f t="shared" si="1"/>
        <v>30</v>
      </c>
      <c r="E14" s="21">
        <f t="shared" si="1"/>
        <v>24</v>
      </c>
      <c r="F14" s="21">
        <f t="shared" si="1"/>
        <v>23</v>
      </c>
      <c r="G14" s="21">
        <f t="shared" si="1"/>
        <v>30</v>
      </c>
      <c r="H14" s="21">
        <f t="shared" si="1"/>
        <v>24</v>
      </c>
      <c r="I14" s="21">
        <f t="shared" si="1"/>
        <v>24</v>
      </c>
      <c r="J14" s="21">
        <f t="shared" si="1"/>
        <v>6</v>
      </c>
      <c r="K14" s="21">
        <f t="shared" si="1"/>
        <v>6</v>
      </c>
      <c r="L14" s="22">
        <f t="shared" si="1"/>
        <v>0</v>
      </c>
      <c r="M14"/>
      <c r="N14"/>
      <c r="O14"/>
      <c r="P14" s="8"/>
      <c r="Q14" s="8"/>
      <c r="R14" s="8"/>
      <c r="S14" s="8"/>
      <c r="T14" s="8"/>
    </row>
    <row r="15" spans="1:20" ht="30" customHeight="1" x14ac:dyDescent="0.2">
      <c r="A15" s="197" t="s">
        <v>29</v>
      </c>
      <c r="B15" s="198"/>
      <c r="C15" s="23">
        <f>DailyWorkRemaining( 'Sprint Backlog'!$D$7:$D$65541, C9, 'Sprint Backlog'!$G$7:$G$65541 )</f>
        <v>14</v>
      </c>
      <c r="D15" s="23">
        <f>DailyWorkRemaining( 'Sprint Backlog'!$D$7:$D$65541, D9, 'Sprint Backlog'!$G$7:$G$65541 )</f>
        <v>14</v>
      </c>
      <c r="E15" s="23">
        <f>DailyWorkRemaining( 'Sprint Backlog'!$D$7:$D$65541, E9, 'Sprint Backlog'!$G$7:$G$65541 )</f>
        <v>14</v>
      </c>
      <c r="F15" s="23">
        <f>DailyWorkRemaining( 'Sprint Backlog'!$D$7:$D$65541, F9, 'Sprint Backlog'!$G$7:$G$65541 )</f>
        <v>12</v>
      </c>
      <c r="G15" s="23">
        <f>DailyWorkRemaining( 'Sprint Backlog'!$D$7:$D$65541, G9, 'Sprint Backlog'!$G$7:$G$65541 )</f>
        <v>21</v>
      </c>
      <c r="H15" s="23">
        <f>DailyWorkRemaining( 'Sprint Backlog'!$D$7:$D$65541, H9, 'Sprint Backlog'!$G$7:$G$65541 )</f>
        <v>9</v>
      </c>
      <c r="I15" s="23">
        <f>DailyWorkRemaining( 'Sprint Backlog'!$D$7:$D$65541, I9, 'Sprint Backlog'!$G$7:$G$65541 )</f>
        <v>22</v>
      </c>
      <c r="J15" s="23">
        <f>DailyWorkRemaining( 'Sprint Backlog'!$D$7:$D$65541, J9, 'Sprint Backlog'!$G$7:$G$65541 )</f>
        <v>6</v>
      </c>
      <c r="K15" s="23">
        <f>DailyWorkRemaining( 'Sprint Backlog'!$D$7:$D$65541, K9, 'Sprint Backlog'!$G$7:$G$65541 )</f>
        <v>5</v>
      </c>
      <c r="L15" s="24">
        <f>DailyWorkRemaining( 'Sprint Backlog'!$D$14:$D$65541, L9, 'Sprint Backlog'!$G$14:$G$65541 )</f>
        <v>0</v>
      </c>
      <c r="M15"/>
      <c r="N15"/>
      <c r="O15"/>
      <c r="P15" s="8"/>
      <c r="Q15" s="8"/>
      <c r="R15" s="8"/>
      <c r="S15" s="8"/>
      <c r="T15" s="8"/>
    </row>
    <row r="16" spans="1:20" ht="30" customHeight="1" thickBot="1" x14ac:dyDescent="0.25">
      <c r="A16" s="199" t="s">
        <v>30</v>
      </c>
      <c r="B16" s="200"/>
      <c r="C16" s="25">
        <f t="shared" ref="C16:L16" si="2">ROUND( C14 - C15, 0 )</f>
        <v>16</v>
      </c>
      <c r="D16" s="25">
        <f t="shared" si="2"/>
        <v>16</v>
      </c>
      <c r="E16" s="25">
        <f t="shared" si="2"/>
        <v>10</v>
      </c>
      <c r="F16" s="25">
        <f t="shared" si="2"/>
        <v>11</v>
      </c>
      <c r="G16" s="25">
        <f t="shared" si="2"/>
        <v>9</v>
      </c>
      <c r="H16" s="25">
        <f t="shared" si="2"/>
        <v>15</v>
      </c>
      <c r="I16" s="25">
        <f t="shared" si="2"/>
        <v>2</v>
      </c>
      <c r="J16" s="25">
        <f t="shared" si="2"/>
        <v>0</v>
      </c>
      <c r="K16" s="25">
        <f t="shared" si="2"/>
        <v>1</v>
      </c>
      <c r="L16" s="26">
        <f t="shared" si="2"/>
        <v>0</v>
      </c>
      <c r="M16"/>
      <c r="N16"/>
      <c r="O16"/>
      <c r="P16" s="8"/>
      <c r="Q16" s="8"/>
      <c r="R16" s="8"/>
      <c r="S16" s="8"/>
      <c r="T16" s="8"/>
    </row>
    <row r="17" spans="1:15" ht="12" customHeight="1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5" ht="18" customHeight="1" thickBot="1" x14ac:dyDescent="0.3">
      <c r="A18" s="187" t="s">
        <v>6</v>
      </c>
      <c r="B18" s="188"/>
      <c r="C18" s="188"/>
      <c r="D18" s="188"/>
      <c r="E18" s="188"/>
      <c r="F18" s="188"/>
      <c r="G18" s="188"/>
      <c r="H18" s="188"/>
      <c r="I18" s="188"/>
      <c r="J18" s="188"/>
      <c r="K18" s="188"/>
      <c r="L18" s="188"/>
      <c r="M18" s="147"/>
      <c r="N18" s="147"/>
      <c r="O18" s="147"/>
    </row>
    <row r="19" spans="1:15" ht="12" customHeight="1" x14ac:dyDescent="0.2">
      <c r="A19" s="28"/>
      <c r="B19" s="29"/>
      <c r="C19" s="30" t="str">
        <f t="shared" ref="C19:L19" si="3">IF( ISBLANK( C$9 ), "", C$9 )</f>
        <v>JD</v>
      </c>
      <c r="D19" s="30" t="str">
        <f t="shared" si="3"/>
        <v>DW</v>
      </c>
      <c r="E19" s="30" t="str">
        <f t="shared" si="3"/>
        <v>LJ</v>
      </c>
      <c r="F19" s="30" t="str">
        <f t="shared" si="3"/>
        <v>RT</v>
      </c>
      <c r="G19" s="30" t="str">
        <f t="shared" si="3"/>
        <v>MC</v>
      </c>
      <c r="H19" s="30" t="str">
        <f t="shared" si="3"/>
        <v>COC</v>
      </c>
      <c r="I19" s="30" t="str">
        <f t="shared" si="3"/>
        <v>CM</v>
      </c>
      <c r="J19" s="30" t="str">
        <f>IF( ISBLANK( J$9 ), "", J$9 )</f>
        <v>CMRT</v>
      </c>
      <c r="K19" s="30" t="str">
        <f t="shared" si="3"/>
        <v>LJCOC</v>
      </c>
      <c r="L19" s="31" t="str">
        <f t="shared" si="3"/>
        <v/>
      </c>
      <c r="M19" s="147"/>
      <c r="N19" s="147"/>
      <c r="O19" s="147"/>
    </row>
    <row r="20" spans="1:15" ht="12" customHeight="1" x14ac:dyDescent="0.2">
      <c r="A20" s="32">
        <v>1</v>
      </c>
      <c r="B20" s="33">
        <f>SprintStartDate</f>
        <v>42667</v>
      </c>
      <c r="C20" s="154">
        <v>3</v>
      </c>
      <c r="D20" s="154">
        <v>2</v>
      </c>
      <c r="E20" s="154">
        <v>4</v>
      </c>
      <c r="F20" s="154">
        <v>3</v>
      </c>
      <c r="G20" s="154">
        <v>1</v>
      </c>
      <c r="H20" s="154">
        <v>2</v>
      </c>
      <c r="I20" s="154">
        <v>2</v>
      </c>
      <c r="J20" s="154">
        <v>0</v>
      </c>
      <c r="K20" s="154">
        <v>0</v>
      </c>
      <c r="L20" s="152">
        <f t="shared" ref="J20:L31" si="4">TeamMemberDailyAvailability( L$9, $B20, $K$5, L$11, L$33 )</f>
        <v>0</v>
      </c>
      <c r="M20" s="147"/>
      <c r="N20" s="147"/>
      <c r="O20" s="147"/>
    </row>
    <row r="21" spans="1:15" ht="12" customHeight="1" x14ac:dyDescent="0.2">
      <c r="A21" s="34">
        <f t="shared" ref="A21:A31" si="5">A20+1</f>
        <v>2</v>
      </c>
      <c r="B21" s="35">
        <f t="shared" ref="B21:B31" si="6">B20+1</f>
        <v>42668</v>
      </c>
      <c r="C21" s="153">
        <v>3</v>
      </c>
      <c r="D21" s="153">
        <v>2</v>
      </c>
      <c r="E21" s="153">
        <v>1</v>
      </c>
      <c r="F21" s="153">
        <v>2</v>
      </c>
      <c r="G21" s="153">
        <v>4</v>
      </c>
      <c r="H21" s="153">
        <v>1</v>
      </c>
      <c r="I21" s="153">
        <v>2</v>
      </c>
      <c r="J21" s="153">
        <v>0</v>
      </c>
      <c r="K21" s="153">
        <v>2</v>
      </c>
      <c r="L21" s="151">
        <f t="shared" si="4"/>
        <v>0</v>
      </c>
      <c r="M21" s="147"/>
      <c r="N21" s="147"/>
      <c r="O21" s="147"/>
    </row>
    <row r="22" spans="1:15" ht="12" customHeight="1" x14ac:dyDescent="0.2">
      <c r="A22" s="34">
        <f t="shared" si="5"/>
        <v>3</v>
      </c>
      <c r="B22" s="35">
        <f t="shared" si="6"/>
        <v>42669</v>
      </c>
      <c r="C22" s="153">
        <v>4</v>
      </c>
      <c r="D22" s="153">
        <v>4</v>
      </c>
      <c r="E22" s="153">
        <v>2</v>
      </c>
      <c r="F22" s="153">
        <v>1</v>
      </c>
      <c r="G22" s="153">
        <v>4</v>
      </c>
      <c r="H22" s="153">
        <v>2</v>
      </c>
      <c r="I22" s="153">
        <v>2</v>
      </c>
      <c r="J22" s="153">
        <v>2</v>
      </c>
      <c r="K22" s="153">
        <v>2</v>
      </c>
      <c r="L22" s="151">
        <f t="shared" si="4"/>
        <v>0</v>
      </c>
      <c r="M22" s="147"/>
      <c r="N22" s="147"/>
      <c r="O22" s="147"/>
    </row>
    <row r="23" spans="1:15" ht="12" customHeight="1" x14ac:dyDescent="0.2">
      <c r="A23" s="34">
        <f t="shared" si="5"/>
        <v>4</v>
      </c>
      <c r="B23" s="35">
        <f t="shared" si="6"/>
        <v>42670</v>
      </c>
      <c r="C23" s="153">
        <v>3</v>
      </c>
      <c r="D23" s="153">
        <v>1</v>
      </c>
      <c r="E23" s="153">
        <v>4</v>
      </c>
      <c r="F23" s="153">
        <v>3</v>
      </c>
      <c r="G23" s="153">
        <v>3</v>
      </c>
      <c r="H23" s="153">
        <v>3</v>
      </c>
      <c r="I23" s="153">
        <v>1</v>
      </c>
      <c r="J23" s="153">
        <v>0</v>
      </c>
      <c r="K23" s="153">
        <v>0</v>
      </c>
      <c r="L23" s="151">
        <f t="shared" si="4"/>
        <v>0</v>
      </c>
      <c r="M23" s="147"/>
      <c r="N23" s="147"/>
      <c r="O23" s="147"/>
    </row>
    <row r="24" spans="1:15" ht="12" customHeight="1" x14ac:dyDescent="0.2">
      <c r="A24" s="34">
        <f t="shared" si="5"/>
        <v>5</v>
      </c>
      <c r="B24" s="35">
        <f t="shared" si="6"/>
        <v>42671</v>
      </c>
      <c r="C24" s="153">
        <v>3</v>
      </c>
      <c r="D24" s="153">
        <v>3</v>
      </c>
      <c r="E24" s="153">
        <v>3</v>
      </c>
      <c r="F24" s="153">
        <v>0</v>
      </c>
      <c r="G24" s="153">
        <v>0</v>
      </c>
      <c r="H24" s="153">
        <v>3</v>
      </c>
      <c r="I24" s="153">
        <v>1</v>
      </c>
      <c r="J24" s="153">
        <v>2</v>
      </c>
      <c r="K24" s="153">
        <v>0</v>
      </c>
      <c r="L24" s="151">
        <f t="shared" si="4"/>
        <v>0</v>
      </c>
      <c r="M24" s="147"/>
      <c r="N24" s="147"/>
      <c r="O24" s="147"/>
    </row>
    <row r="25" spans="1:15" ht="12" customHeight="1" x14ac:dyDescent="0.2">
      <c r="A25" s="34">
        <f t="shared" si="5"/>
        <v>6</v>
      </c>
      <c r="B25" s="35">
        <f t="shared" si="6"/>
        <v>42672</v>
      </c>
      <c r="C25" s="153">
        <v>2</v>
      </c>
      <c r="D25" s="153">
        <v>3</v>
      </c>
      <c r="E25" s="153">
        <v>1</v>
      </c>
      <c r="F25" s="153">
        <v>1</v>
      </c>
      <c r="G25" s="153">
        <v>3</v>
      </c>
      <c r="H25" s="150">
        <f>TeamMemberDailyAvailability( H$9, $B25, $K$5, H$11, H$33 )</f>
        <v>0</v>
      </c>
      <c r="I25" s="153">
        <v>3</v>
      </c>
      <c r="J25" s="150">
        <f t="shared" si="4"/>
        <v>0</v>
      </c>
      <c r="K25" s="150">
        <f t="shared" si="4"/>
        <v>0</v>
      </c>
      <c r="L25" s="151">
        <f t="shared" si="4"/>
        <v>0</v>
      </c>
      <c r="M25" s="147"/>
      <c r="N25" s="147"/>
      <c r="O25" s="147"/>
    </row>
    <row r="26" spans="1:15" ht="12" customHeight="1" x14ac:dyDescent="0.2">
      <c r="A26" s="34">
        <f t="shared" si="5"/>
        <v>7</v>
      </c>
      <c r="B26" s="35">
        <f t="shared" si="6"/>
        <v>42673</v>
      </c>
      <c r="C26" s="150">
        <f>TeamMemberDailyAvailability( C$9, $B26, $K$5, C$11, C$33 )</f>
        <v>0</v>
      </c>
      <c r="D26" s="153">
        <v>3</v>
      </c>
      <c r="E26" s="153">
        <v>0</v>
      </c>
      <c r="F26" s="153">
        <v>1</v>
      </c>
      <c r="G26" s="153">
        <v>3</v>
      </c>
      <c r="H26" s="153">
        <v>2</v>
      </c>
      <c r="I26" s="153">
        <v>3</v>
      </c>
      <c r="J26" s="150">
        <f t="shared" si="4"/>
        <v>0</v>
      </c>
      <c r="K26" s="150">
        <f t="shared" si="4"/>
        <v>0</v>
      </c>
      <c r="L26" s="151">
        <f t="shared" si="4"/>
        <v>0</v>
      </c>
      <c r="M26" s="147"/>
      <c r="N26" s="147"/>
      <c r="O26" s="147"/>
    </row>
    <row r="27" spans="1:15" ht="12" customHeight="1" x14ac:dyDescent="0.2">
      <c r="A27" s="34">
        <f t="shared" si="5"/>
        <v>8</v>
      </c>
      <c r="B27" s="35">
        <f t="shared" si="6"/>
        <v>42674</v>
      </c>
      <c r="C27" s="153">
        <v>3</v>
      </c>
      <c r="D27" s="153">
        <v>2</v>
      </c>
      <c r="E27" s="153">
        <v>2</v>
      </c>
      <c r="F27" s="153">
        <v>3</v>
      </c>
      <c r="G27" s="153">
        <v>3</v>
      </c>
      <c r="H27" s="153">
        <v>3</v>
      </c>
      <c r="I27" s="153">
        <v>2</v>
      </c>
      <c r="J27" s="153">
        <v>0</v>
      </c>
      <c r="K27" s="153">
        <v>0</v>
      </c>
      <c r="L27" s="151">
        <f t="shared" si="4"/>
        <v>0</v>
      </c>
      <c r="M27" s="147"/>
      <c r="N27" s="147"/>
      <c r="O27" s="147"/>
    </row>
    <row r="28" spans="1:15" ht="12" customHeight="1" x14ac:dyDescent="0.2">
      <c r="A28" s="34">
        <f t="shared" si="5"/>
        <v>9</v>
      </c>
      <c r="B28" s="35">
        <f t="shared" si="6"/>
        <v>42675</v>
      </c>
      <c r="C28" s="153">
        <v>0</v>
      </c>
      <c r="D28" s="153">
        <v>0</v>
      </c>
      <c r="E28" s="153">
        <v>0</v>
      </c>
      <c r="F28" s="153">
        <v>2</v>
      </c>
      <c r="G28" s="153">
        <v>1</v>
      </c>
      <c r="H28" s="153">
        <v>0</v>
      </c>
      <c r="I28" s="153">
        <v>0</v>
      </c>
      <c r="J28" s="153">
        <v>0</v>
      </c>
      <c r="K28" s="153">
        <v>0</v>
      </c>
      <c r="L28" s="151">
        <f t="shared" si="4"/>
        <v>0</v>
      </c>
      <c r="M28" s="147"/>
      <c r="N28" s="147"/>
      <c r="O28" s="147"/>
    </row>
    <row r="29" spans="1:15" ht="12" customHeight="1" x14ac:dyDescent="0.2">
      <c r="A29" s="34">
        <f t="shared" si="5"/>
        <v>10</v>
      </c>
      <c r="B29" s="35">
        <f t="shared" si="6"/>
        <v>42676</v>
      </c>
      <c r="C29" s="153">
        <v>4</v>
      </c>
      <c r="D29" s="153">
        <v>4</v>
      </c>
      <c r="E29" s="153">
        <v>3</v>
      </c>
      <c r="F29" s="153">
        <v>1</v>
      </c>
      <c r="G29" s="153">
        <v>4</v>
      </c>
      <c r="H29" s="153">
        <v>2</v>
      </c>
      <c r="I29" s="153">
        <v>2</v>
      </c>
      <c r="J29" s="153">
        <v>2</v>
      </c>
      <c r="K29" s="153">
        <v>2</v>
      </c>
      <c r="L29" s="151">
        <f t="shared" si="4"/>
        <v>0</v>
      </c>
      <c r="M29" s="147"/>
      <c r="N29" s="147"/>
      <c r="O29" s="147"/>
    </row>
    <row r="30" spans="1:15" ht="12" customHeight="1" x14ac:dyDescent="0.2">
      <c r="A30" s="34">
        <f t="shared" si="5"/>
        <v>11</v>
      </c>
      <c r="B30" s="35">
        <f t="shared" si="6"/>
        <v>42677</v>
      </c>
      <c r="C30" s="153">
        <v>3</v>
      </c>
      <c r="D30" s="153">
        <v>3</v>
      </c>
      <c r="E30" s="153">
        <v>4</v>
      </c>
      <c r="F30" s="153">
        <v>3</v>
      </c>
      <c r="G30" s="153">
        <v>4</v>
      </c>
      <c r="H30" s="153">
        <v>4</v>
      </c>
      <c r="I30" s="153">
        <v>3</v>
      </c>
      <c r="J30" s="153">
        <v>0</v>
      </c>
      <c r="K30" s="153">
        <v>0</v>
      </c>
      <c r="L30" s="151">
        <f t="shared" si="4"/>
        <v>0</v>
      </c>
      <c r="M30" s="147"/>
      <c r="N30" s="147"/>
      <c r="O30" s="147"/>
    </row>
    <row r="31" spans="1:15" ht="12" customHeight="1" x14ac:dyDescent="0.2">
      <c r="A31" s="34">
        <f t="shared" si="5"/>
        <v>12</v>
      </c>
      <c r="B31" s="35">
        <f t="shared" si="6"/>
        <v>42678</v>
      </c>
      <c r="C31" s="153">
        <v>2</v>
      </c>
      <c r="D31" s="153">
        <v>3</v>
      </c>
      <c r="E31" s="153">
        <v>0</v>
      </c>
      <c r="F31" s="153">
        <v>3</v>
      </c>
      <c r="G31" s="153">
        <v>0</v>
      </c>
      <c r="H31" s="153">
        <v>2</v>
      </c>
      <c r="I31" s="153">
        <v>3</v>
      </c>
      <c r="J31" s="153">
        <v>0</v>
      </c>
      <c r="K31" s="153">
        <v>0</v>
      </c>
      <c r="L31" s="151">
        <f t="shared" si="4"/>
        <v>0</v>
      </c>
      <c r="M31" s="147"/>
      <c r="N31" s="147"/>
      <c r="O31" s="147"/>
    </row>
    <row r="32" spans="1:15" ht="15" customHeight="1" thickBot="1" x14ac:dyDescent="0.3">
      <c r="A32" s="36" t="s">
        <v>7</v>
      </c>
      <c r="B32" s="37">
        <f>SUM( C32:L32 )</f>
        <v>197</v>
      </c>
      <c r="C32" s="38">
        <f t="shared" ref="C32:L32" si="7">SUM( C$20:C$31 )</f>
        <v>30</v>
      </c>
      <c r="D32" s="38">
        <f t="shared" si="7"/>
        <v>30</v>
      </c>
      <c r="E32" s="38">
        <f t="shared" si="7"/>
        <v>24</v>
      </c>
      <c r="F32" s="38">
        <f t="shared" si="7"/>
        <v>23</v>
      </c>
      <c r="G32" s="38">
        <f t="shared" si="7"/>
        <v>30</v>
      </c>
      <c r="H32" s="38">
        <f t="shared" si="7"/>
        <v>24</v>
      </c>
      <c r="I32" s="38">
        <f t="shared" si="7"/>
        <v>24</v>
      </c>
      <c r="J32" s="38">
        <f t="shared" si="7"/>
        <v>6</v>
      </c>
      <c r="K32" s="38">
        <f t="shared" si="7"/>
        <v>6</v>
      </c>
      <c r="L32" s="39">
        <f t="shared" si="7"/>
        <v>0</v>
      </c>
      <c r="M32" s="147"/>
      <c r="N32" s="147"/>
      <c r="O32" s="147"/>
    </row>
    <row r="33" spans="1:15" ht="3" customHeight="1" thickBot="1" x14ac:dyDescent="0.25">
      <c r="A33" s="40"/>
      <c r="B33" s="41"/>
      <c r="C33" s="42">
        <v>58</v>
      </c>
      <c r="D33" s="42">
        <v>56</v>
      </c>
      <c r="E33" s="41">
        <v>53</v>
      </c>
      <c r="F33" s="41">
        <v>50</v>
      </c>
      <c r="G33" s="41">
        <v>49</v>
      </c>
      <c r="H33" s="41">
        <v>53</v>
      </c>
      <c r="I33" s="41">
        <v>8</v>
      </c>
      <c r="J33" s="41">
        <v>80</v>
      </c>
      <c r="K33" s="41">
        <v>80</v>
      </c>
      <c r="L33" s="43"/>
      <c r="M33" s="147"/>
      <c r="N33" s="147"/>
      <c r="O33" s="147"/>
    </row>
    <row r="34" spans="1:15" ht="12" customHeight="1" x14ac:dyDescent="0.2">
      <c r="A34" s="27"/>
      <c r="B34" s="27"/>
      <c r="C34" s="44"/>
      <c r="D34" s="44"/>
      <c r="E34" s="27"/>
      <c r="F34" s="27"/>
      <c r="G34" s="27"/>
      <c r="H34" s="27"/>
      <c r="I34" s="27"/>
      <c r="J34" s="27"/>
      <c r="K34" s="27"/>
      <c r="L34" s="27"/>
    </row>
    <row r="35" spans="1:15" ht="12" customHeight="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</row>
    <row r="36" spans="1:15" ht="12" customHeight="1" x14ac:dyDescent="0.2">
      <c r="A36" s="45" t="s">
        <v>8</v>
      </c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</row>
    <row r="37" spans="1:15" ht="12" customHeight="1" x14ac:dyDescent="0.2">
      <c r="A37" s="46" t="s">
        <v>9</v>
      </c>
      <c r="B37" s="47" t="s">
        <v>10</v>
      </c>
      <c r="C37" s="48" t="s">
        <v>11</v>
      </c>
      <c r="D37" s="48"/>
      <c r="E37" s="48"/>
      <c r="F37" s="46"/>
      <c r="G37" s="48"/>
      <c r="H37" s="48"/>
      <c r="I37" s="48"/>
      <c r="J37" s="48"/>
      <c r="K37" s="46"/>
      <c r="L37" s="46"/>
    </row>
    <row r="38" spans="1:15" ht="12" customHeight="1" x14ac:dyDescent="0.2">
      <c r="A38" s="46" t="s">
        <v>12</v>
      </c>
      <c r="B38" s="47" t="s">
        <v>13</v>
      </c>
      <c r="C38" s="46" t="s">
        <v>14</v>
      </c>
      <c r="D38" s="46"/>
      <c r="E38" s="46"/>
      <c r="F38" s="46"/>
      <c r="G38" s="46"/>
      <c r="H38" s="46"/>
      <c r="I38" s="46"/>
      <c r="J38" s="46"/>
      <c r="K38" s="46"/>
      <c r="L38" s="46"/>
    </row>
    <row r="39" spans="1:15" ht="12" customHeight="1" x14ac:dyDescent="0.2">
      <c r="A39" s="46"/>
      <c r="B39" s="46" t="s">
        <v>15</v>
      </c>
      <c r="C39" s="46"/>
      <c r="D39" s="46"/>
      <c r="E39" s="46"/>
      <c r="F39" s="46"/>
      <c r="G39" s="46"/>
      <c r="H39" s="46"/>
      <c r="I39" s="46"/>
      <c r="J39" s="46"/>
      <c r="K39" s="46"/>
      <c r="L39" s="46"/>
    </row>
    <row r="40" spans="1:15" ht="12" customHeight="1" x14ac:dyDescent="0.2">
      <c r="A40" s="46"/>
      <c r="B40" s="47" t="s">
        <v>16</v>
      </c>
      <c r="C40" s="46"/>
      <c r="D40" s="46"/>
      <c r="E40" s="46"/>
      <c r="F40" s="46"/>
      <c r="G40" s="46"/>
      <c r="H40" s="46"/>
      <c r="I40" s="46"/>
      <c r="J40" s="46"/>
      <c r="K40" s="46"/>
      <c r="L40" s="46"/>
    </row>
    <row r="41" spans="1:15" ht="12" customHeight="1" x14ac:dyDescent="0.2"/>
  </sheetData>
  <dataConsolidate/>
  <mergeCells count="27">
    <mergeCell ref="A18:L18"/>
    <mergeCell ref="A7:L7"/>
    <mergeCell ref="I5:J5"/>
    <mergeCell ref="G4:H4"/>
    <mergeCell ref="E4:F4"/>
    <mergeCell ref="A11:B11"/>
    <mergeCell ref="A5:B5"/>
    <mergeCell ref="A15:B15"/>
    <mergeCell ref="A16:B16"/>
    <mergeCell ref="A13:B13"/>
    <mergeCell ref="A14:B14"/>
    <mergeCell ref="G5:H5"/>
    <mergeCell ref="A10:B10"/>
    <mergeCell ref="C4:D4"/>
    <mergeCell ref="A4:B4"/>
    <mergeCell ref="C5:D5"/>
    <mergeCell ref="F1:H1"/>
    <mergeCell ref="A8:B8"/>
    <mergeCell ref="A9:B9"/>
    <mergeCell ref="A12:B12"/>
    <mergeCell ref="A1:E1"/>
    <mergeCell ref="A3:L3"/>
    <mergeCell ref="I4:J4"/>
    <mergeCell ref="I1:L1"/>
    <mergeCell ref="K4:L4"/>
    <mergeCell ref="K5:L5"/>
    <mergeCell ref="E5:F5"/>
  </mergeCells>
  <phoneticPr fontId="22" type="noConversion"/>
  <conditionalFormatting sqref="C20:H22 J20:L22">
    <cfRule type="cellIs" dxfId="78" priority="331" stopIfTrue="1" operator="greaterThan">
      <formula>$K$5</formula>
    </cfRule>
    <cfRule type="expression" dxfId="77" priority="332" stopIfTrue="1">
      <formula>WEEKDAY( $B20, 3 ) &gt;= 5</formula>
    </cfRule>
  </conditionalFormatting>
  <conditionalFormatting sqref="C23:H23 J23:L23">
    <cfRule type="cellIs" dxfId="76" priority="37" stopIfTrue="1" operator="greaterThan">
      <formula>$K$5</formula>
    </cfRule>
    <cfRule type="expression" dxfId="75" priority="38" stopIfTrue="1">
      <formula>WEEKDAY( $B23, 3 ) &gt;= 5</formula>
    </cfRule>
  </conditionalFormatting>
  <conditionalFormatting sqref="C24:H24 J24:L24">
    <cfRule type="cellIs" dxfId="74" priority="35" stopIfTrue="1" operator="greaterThan">
      <formula>$K$5</formula>
    </cfRule>
    <cfRule type="expression" dxfId="73" priority="36" stopIfTrue="1">
      <formula>WEEKDAY( $B24, 3 ) &gt;= 5</formula>
    </cfRule>
  </conditionalFormatting>
  <conditionalFormatting sqref="C25:H25 J25:L25">
    <cfRule type="cellIs" dxfId="72" priority="33" stopIfTrue="1" operator="greaterThan">
      <formula>$K$5</formula>
    </cfRule>
    <cfRule type="expression" dxfId="71" priority="34" stopIfTrue="1">
      <formula>WEEKDAY( $B25, 3 ) &gt;= 5</formula>
    </cfRule>
  </conditionalFormatting>
  <conditionalFormatting sqref="C26:H26 J26:L26">
    <cfRule type="cellIs" dxfId="70" priority="31" stopIfTrue="1" operator="greaterThan">
      <formula>$K$5</formula>
    </cfRule>
    <cfRule type="expression" dxfId="69" priority="32" stopIfTrue="1">
      <formula>WEEKDAY( $B26, 3 ) &gt;= 5</formula>
    </cfRule>
  </conditionalFormatting>
  <conditionalFormatting sqref="C27:H27 J27:L27">
    <cfRule type="cellIs" dxfId="68" priority="29" stopIfTrue="1" operator="greaterThan">
      <formula>$K$5</formula>
    </cfRule>
    <cfRule type="expression" dxfId="67" priority="30" stopIfTrue="1">
      <formula>WEEKDAY( $B27, 3 ) &gt;= 5</formula>
    </cfRule>
  </conditionalFormatting>
  <conditionalFormatting sqref="C28:H28 J28:L28">
    <cfRule type="cellIs" dxfId="66" priority="27" stopIfTrue="1" operator="greaterThan">
      <formula>$K$5</formula>
    </cfRule>
    <cfRule type="expression" dxfId="65" priority="28" stopIfTrue="1">
      <formula>WEEKDAY( $B28, 3 ) &gt;= 5</formula>
    </cfRule>
  </conditionalFormatting>
  <conditionalFormatting sqref="C29:H29 J29:L29">
    <cfRule type="cellIs" dxfId="64" priority="25" stopIfTrue="1" operator="greaterThan">
      <formula>$K$5</formula>
    </cfRule>
    <cfRule type="expression" dxfId="63" priority="26" stopIfTrue="1">
      <formula>WEEKDAY( $B29, 3 ) &gt;= 5</formula>
    </cfRule>
  </conditionalFormatting>
  <conditionalFormatting sqref="C30:H30 J30:L30">
    <cfRule type="cellIs" dxfId="62" priority="23" stopIfTrue="1" operator="greaterThan">
      <formula>$K$5</formula>
    </cfRule>
    <cfRule type="expression" dxfId="61" priority="24" stopIfTrue="1">
      <formula>WEEKDAY( $B30, 3 ) &gt;= 5</formula>
    </cfRule>
  </conditionalFormatting>
  <conditionalFormatting sqref="C31:H31 J31:L31">
    <cfRule type="cellIs" dxfId="60" priority="21" stopIfTrue="1" operator="greaterThan">
      <formula>$K$5</formula>
    </cfRule>
    <cfRule type="expression" dxfId="59" priority="22" stopIfTrue="1">
      <formula>WEEKDAY( $B31, 3 ) &gt;= 5</formula>
    </cfRule>
  </conditionalFormatting>
  <conditionalFormatting sqref="I20:I22">
    <cfRule type="cellIs" dxfId="58" priority="19" stopIfTrue="1" operator="greaterThan">
      <formula>$K$5</formula>
    </cfRule>
    <cfRule type="expression" dxfId="57" priority="20" stopIfTrue="1">
      <formula>WEEKDAY( $B20, 3 ) &gt;= 5</formula>
    </cfRule>
  </conditionalFormatting>
  <conditionalFormatting sqref="I23">
    <cfRule type="cellIs" dxfId="56" priority="17" stopIfTrue="1" operator="greaterThan">
      <formula>$K$5</formula>
    </cfRule>
    <cfRule type="expression" dxfId="55" priority="18" stopIfTrue="1">
      <formula>WEEKDAY( $B23, 3 ) &gt;= 5</formula>
    </cfRule>
  </conditionalFormatting>
  <conditionalFormatting sqref="I24">
    <cfRule type="cellIs" dxfId="54" priority="15" stopIfTrue="1" operator="greaterThan">
      <formula>$K$5</formula>
    </cfRule>
    <cfRule type="expression" dxfId="53" priority="16" stopIfTrue="1">
      <formula>WEEKDAY( $B24, 3 ) &gt;= 5</formula>
    </cfRule>
  </conditionalFormatting>
  <conditionalFormatting sqref="I25">
    <cfRule type="cellIs" dxfId="52" priority="13" stopIfTrue="1" operator="greaterThan">
      <formula>$K$5</formula>
    </cfRule>
    <cfRule type="expression" dxfId="51" priority="14" stopIfTrue="1">
      <formula>WEEKDAY( $B25, 3 ) &gt;= 5</formula>
    </cfRule>
  </conditionalFormatting>
  <conditionalFormatting sqref="I26">
    <cfRule type="cellIs" dxfId="50" priority="11" stopIfTrue="1" operator="greaterThan">
      <formula>$K$5</formula>
    </cfRule>
    <cfRule type="expression" dxfId="49" priority="12" stopIfTrue="1">
      <formula>WEEKDAY( $B26, 3 ) &gt;= 5</formula>
    </cfRule>
  </conditionalFormatting>
  <conditionalFormatting sqref="I27">
    <cfRule type="cellIs" dxfId="48" priority="9" stopIfTrue="1" operator="greaterThan">
      <formula>$K$5</formula>
    </cfRule>
    <cfRule type="expression" dxfId="47" priority="10" stopIfTrue="1">
      <formula>WEEKDAY( $B27, 3 ) &gt;= 5</formula>
    </cfRule>
  </conditionalFormatting>
  <conditionalFormatting sqref="I28">
    <cfRule type="cellIs" dxfId="46" priority="7" stopIfTrue="1" operator="greaterThan">
      <formula>$K$5</formula>
    </cfRule>
    <cfRule type="expression" dxfId="45" priority="8" stopIfTrue="1">
      <formula>WEEKDAY( $B28, 3 ) &gt;= 5</formula>
    </cfRule>
  </conditionalFormatting>
  <conditionalFormatting sqref="I29">
    <cfRule type="cellIs" dxfId="44" priority="5" stopIfTrue="1" operator="greaterThan">
      <formula>$K$5</formula>
    </cfRule>
    <cfRule type="expression" dxfId="43" priority="6" stopIfTrue="1">
      <formula>WEEKDAY( $B29, 3 ) &gt;= 5</formula>
    </cfRule>
  </conditionalFormatting>
  <conditionalFormatting sqref="I30">
    <cfRule type="cellIs" dxfId="42" priority="3" stopIfTrue="1" operator="greaterThan">
      <formula>$K$5</formula>
    </cfRule>
    <cfRule type="expression" dxfId="41" priority="4" stopIfTrue="1">
      <formula>WEEKDAY( $B30, 3 ) &gt;= 5</formula>
    </cfRule>
  </conditionalFormatting>
  <conditionalFormatting sqref="I31">
    <cfRule type="cellIs" dxfId="40" priority="1" stopIfTrue="1" operator="greaterThan">
      <formula>$K$5</formula>
    </cfRule>
    <cfRule type="expression" dxfId="39" priority="2" stopIfTrue="1">
      <formula>WEEKDAY( $B31, 3 ) &gt;= 5</formula>
    </cfRule>
  </conditionalFormatting>
  <hyperlinks>
    <hyperlink ref="B37" r:id="rId1"/>
    <hyperlink ref="B40" r:id="rId2"/>
    <hyperlink ref="B38" r:id="rId3"/>
  </hyperlinks>
  <pageMargins left="0.48" right="0.67" top="0.47" bottom="0.61" header="0.31" footer="0.32"/>
  <pageSetup scale="83" orientation="landscape" r:id="rId4"/>
  <headerFooter alignWithMargins="0">
    <oddFooter>&amp;L&amp;"Arial,Italic"&amp;8&amp;F / &amp;A&amp;R&amp;"Arial,Italic"&amp;8Printed on: 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rintBacklogSheet">
    <tabColor indexed="50"/>
    <outlinePr summaryBelow="0"/>
  </sheetPr>
  <dimension ref="A1:S105"/>
  <sheetViews>
    <sheetView tabSelected="1" workbookViewId="0">
      <pane ySplit="4" topLeftCell="A5" activePane="bottomLeft" state="frozenSplit"/>
      <selection pane="bottomLeft" activeCell="A27" sqref="A27"/>
    </sheetView>
  </sheetViews>
  <sheetFormatPr defaultRowHeight="12" x14ac:dyDescent="0.2"/>
  <cols>
    <col min="1" max="1" width="38.5703125" style="1" customWidth="1"/>
    <col min="2" max="2" width="20" style="1" customWidth="1"/>
    <col min="3" max="3" width="21.140625" style="1" customWidth="1"/>
    <col min="4" max="4" width="8.140625" style="1" customWidth="1"/>
    <col min="5" max="5" width="11" style="1" customWidth="1"/>
    <col min="6" max="6" width="10.5703125" style="1" customWidth="1"/>
    <col min="7" max="7" width="12.5703125" style="1" customWidth="1"/>
    <col min="8" max="8" width="4.28515625" style="1" customWidth="1"/>
    <col min="9" max="19" width="3.85546875" style="1" customWidth="1"/>
    <col min="20" max="16384" width="9.140625" style="1"/>
  </cols>
  <sheetData>
    <row r="1" spans="1:19" ht="45" customHeight="1" x14ac:dyDescent="0.2">
      <c r="A1" s="214" t="str">
        <f>Calculations!A43</f>
        <v>Washington Redskins
Sprint Backlog -- Embrace Reality</v>
      </c>
      <c r="B1" s="215"/>
      <c r="C1" s="215"/>
      <c r="D1" s="215"/>
      <c r="E1" s="216" t="s">
        <v>31</v>
      </c>
      <c r="F1" s="217"/>
      <c r="G1" s="218"/>
      <c r="H1" s="49">
        <v>1</v>
      </c>
      <c r="I1" s="50">
        <f t="shared" ref="I1:S1" si="0">H1+1</f>
        <v>2</v>
      </c>
      <c r="J1" s="50">
        <f t="shared" si="0"/>
        <v>3</v>
      </c>
      <c r="K1" s="50">
        <f t="shared" si="0"/>
        <v>4</v>
      </c>
      <c r="L1" s="50">
        <f t="shared" si="0"/>
        <v>5</v>
      </c>
      <c r="M1" s="50">
        <f t="shared" si="0"/>
        <v>6</v>
      </c>
      <c r="N1" s="50">
        <f t="shared" si="0"/>
        <v>7</v>
      </c>
      <c r="O1" s="50">
        <f t="shared" si="0"/>
        <v>8</v>
      </c>
      <c r="P1" s="50">
        <f t="shared" si="0"/>
        <v>9</v>
      </c>
      <c r="Q1" s="50">
        <f t="shared" si="0"/>
        <v>10</v>
      </c>
      <c r="R1" s="50">
        <f t="shared" si="0"/>
        <v>11</v>
      </c>
      <c r="S1" s="50">
        <f t="shared" si="0"/>
        <v>12</v>
      </c>
    </row>
    <row r="2" spans="1:19" ht="60" customHeight="1" x14ac:dyDescent="0.2">
      <c r="A2" s="51" t="s">
        <v>32</v>
      </c>
      <c r="B2" s="51" t="s">
        <v>33</v>
      </c>
      <c r="C2" s="51" t="s">
        <v>34</v>
      </c>
      <c r="D2" s="52" t="s">
        <v>35</v>
      </c>
      <c r="E2" s="52" t="s">
        <v>36</v>
      </c>
      <c r="F2" s="53" t="s">
        <v>37</v>
      </c>
      <c r="G2" s="54" t="s">
        <v>38</v>
      </c>
      <c r="H2" s="55">
        <f>'Sprint Backlog'!SprintStartDate</f>
        <v>42667</v>
      </c>
      <c r="I2" s="55">
        <f t="shared" ref="I2:S2" si="1">H2+1</f>
        <v>42668</v>
      </c>
      <c r="J2" s="55">
        <f t="shared" si="1"/>
        <v>42669</v>
      </c>
      <c r="K2" s="55">
        <f t="shared" si="1"/>
        <v>42670</v>
      </c>
      <c r="L2" s="55">
        <f t="shared" si="1"/>
        <v>42671</v>
      </c>
      <c r="M2" s="55">
        <f t="shared" si="1"/>
        <v>42672</v>
      </c>
      <c r="N2" s="55">
        <f t="shared" si="1"/>
        <v>42673</v>
      </c>
      <c r="O2" s="55">
        <f t="shared" si="1"/>
        <v>42674</v>
      </c>
      <c r="P2" s="55">
        <f t="shared" si="1"/>
        <v>42675</v>
      </c>
      <c r="Q2" s="55">
        <f t="shared" si="1"/>
        <v>42676</v>
      </c>
      <c r="R2" s="55">
        <f t="shared" si="1"/>
        <v>42677</v>
      </c>
      <c r="S2" s="55">
        <f t="shared" si="1"/>
        <v>42678</v>
      </c>
    </row>
    <row r="3" spans="1:19" ht="30.75" customHeight="1" x14ac:dyDescent="0.2">
      <c r="A3" s="56" t="b">
        <v>1</v>
      </c>
      <c r="B3" s="56" t="b">
        <v>1</v>
      </c>
      <c r="C3" s="211" t="s">
        <v>39</v>
      </c>
      <c r="D3" s="212"/>
      <c r="E3" s="212"/>
      <c r="F3" s="213"/>
      <c r="G3" s="57">
        <f>DailyWorkRemaining( $D$7:$D$65541, [0]!TeamMembersInitials, G$7:G$65541 )</f>
        <v>117</v>
      </c>
      <c r="H3" s="58">
        <f>DailyWorkRemaining( $D$7:$D$65541, [0]!TeamMembersInitials, H$7:H$65541 )</f>
        <v>103</v>
      </c>
      <c r="I3" s="58">
        <f>DailyWorkRemaining( $D$7:$D$65541, [0]!TeamMembersInitials, I$7:I$65541 )</f>
        <v>89</v>
      </c>
      <c r="J3" s="58">
        <f>DailyWorkRemaining( $D$7:$D$65541, [0]!TeamMembersInitials, J$7:J$65541 )</f>
        <v>76</v>
      </c>
      <c r="K3" s="58">
        <f>DailyWorkRemaining( $D$7:$D$65541, [0]!TeamMembersInitials, K$7:K$65541 )</f>
        <v>65</v>
      </c>
      <c r="L3" s="58">
        <f>DailyWorkRemaining( $D$7:$D$65541, [0]!TeamMembersInitials, L$7:L$65541 )</f>
        <v>61</v>
      </c>
      <c r="M3" s="58">
        <f>DailyWorkRemaining( $D$7:$D$65541, [0]!TeamMembersInitials, M$7:M$65541 )</f>
        <v>60</v>
      </c>
      <c r="N3" s="58">
        <f>DailyWorkRemaining( $D$7:$D$65541, [0]!TeamMembersInitials, N$7:N$65541 )</f>
        <v>60</v>
      </c>
      <c r="O3" s="58">
        <f>DailyWorkRemaining( $D$7:$D$65541, [0]!TeamMembersInitials, O$7:O$65541 )</f>
        <v>54</v>
      </c>
      <c r="P3" s="58">
        <f>DailyWorkRemaining( $D$7:$D$65541, [0]!TeamMembersInitials, P$7:P$65541 )</f>
        <v>54</v>
      </c>
      <c r="Q3" s="58">
        <f>DailyWorkRemaining( $D$7:$D$65541, [0]!TeamMembersInitials, Q$7:Q$65541 )</f>
        <v>46</v>
      </c>
      <c r="R3" s="58">
        <f>DailyWorkRemaining( $D$7:$D$65541, [0]!TeamMembersInitials, R$7:R$65541 )</f>
        <v>40</v>
      </c>
      <c r="S3" s="58">
        <f>DailyWorkRemaining( $D$7:$D$65541, [0]!TeamMembersInitials, S$7:S$65541 )</f>
        <v>40</v>
      </c>
    </row>
    <row r="4" spans="1:19" ht="12.75" customHeight="1" x14ac:dyDescent="0.2">
      <c r="A4" s="148"/>
      <c r="B4" s="149"/>
      <c r="C4" s="211" t="s">
        <v>40</v>
      </c>
      <c r="D4" s="212"/>
      <c r="E4" s="212"/>
      <c r="F4" s="212"/>
      <c r="G4" s="213"/>
      <c r="H4" s="59">
        <f t="shared" ref="H4:S4" si="2">G3-H3</f>
        <v>14</v>
      </c>
      <c r="I4" s="59">
        <f t="shared" si="2"/>
        <v>14</v>
      </c>
      <c r="J4" s="59">
        <f t="shared" si="2"/>
        <v>13</v>
      </c>
      <c r="K4" s="59">
        <f t="shared" si="2"/>
        <v>11</v>
      </c>
      <c r="L4" s="59">
        <f t="shared" si="2"/>
        <v>4</v>
      </c>
      <c r="M4" s="59">
        <f t="shared" si="2"/>
        <v>1</v>
      </c>
      <c r="N4" s="59">
        <f t="shared" si="2"/>
        <v>0</v>
      </c>
      <c r="O4" s="59">
        <f t="shared" si="2"/>
        <v>6</v>
      </c>
      <c r="P4" s="59">
        <f t="shared" si="2"/>
        <v>0</v>
      </c>
      <c r="Q4" s="59">
        <f t="shared" si="2"/>
        <v>8</v>
      </c>
      <c r="R4" s="59">
        <f t="shared" si="2"/>
        <v>6</v>
      </c>
      <c r="S4" s="59">
        <f t="shared" si="2"/>
        <v>0</v>
      </c>
    </row>
    <row r="5" spans="1:19" ht="15" hidden="1" customHeight="1" x14ac:dyDescent="0.2">
      <c r="A5" s="143"/>
      <c r="B5" s="143"/>
      <c r="C5" s="143"/>
      <c r="D5" s="144"/>
      <c r="E5" s="143"/>
      <c r="F5" s="143"/>
      <c r="G5" s="145"/>
      <c r="H5" s="146">
        <f t="shared" ref="H5:S5" si="3">G5</f>
        <v>0</v>
      </c>
      <c r="I5" s="146">
        <f t="shared" si="3"/>
        <v>0</v>
      </c>
      <c r="J5" s="146">
        <f t="shared" si="3"/>
        <v>0</v>
      </c>
      <c r="K5" s="146">
        <f t="shared" si="3"/>
        <v>0</v>
      </c>
      <c r="L5" s="146">
        <f t="shared" si="3"/>
        <v>0</v>
      </c>
      <c r="M5" s="146">
        <f t="shared" si="3"/>
        <v>0</v>
      </c>
      <c r="N5" s="146">
        <f t="shared" si="3"/>
        <v>0</v>
      </c>
      <c r="O5" s="146">
        <f t="shared" si="3"/>
        <v>0</v>
      </c>
      <c r="P5" s="146">
        <f t="shared" si="3"/>
        <v>0</v>
      </c>
      <c r="Q5" s="146">
        <f t="shared" si="3"/>
        <v>0</v>
      </c>
      <c r="R5" s="146">
        <f t="shared" si="3"/>
        <v>0</v>
      </c>
      <c r="S5" s="146">
        <f t="shared" si="3"/>
        <v>0</v>
      </c>
    </row>
    <row r="6" spans="1:19" ht="42" customHeight="1" x14ac:dyDescent="0.2">
      <c r="A6" s="155" t="s">
        <v>111</v>
      </c>
      <c r="B6" s="143"/>
      <c r="C6" s="143"/>
      <c r="D6" s="144"/>
      <c r="E6" s="156"/>
      <c r="F6" s="143"/>
      <c r="G6" s="158"/>
      <c r="H6" s="146">
        <f t="shared" ref="H6:S6" si="4">G6</f>
        <v>0</v>
      </c>
      <c r="I6" s="146">
        <f t="shared" si="4"/>
        <v>0</v>
      </c>
      <c r="J6" s="146">
        <f t="shared" si="4"/>
        <v>0</v>
      </c>
      <c r="K6" s="146">
        <f t="shared" si="4"/>
        <v>0</v>
      </c>
      <c r="L6" s="146">
        <f t="shared" si="4"/>
        <v>0</v>
      </c>
      <c r="M6" s="146">
        <f t="shared" si="4"/>
        <v>0</v>
      </c>
      <c r="N6" s="146">
        <f t="shared" si="4"/>
        <v>0</v>
      </c>
      <c r="O6" s="146">
        <f t="shared" si="4"/>
        <v>0</v>
      </c>
      <c r="P6" s="146">
        <f t="shared" si="4"/>
        <v>0</v>
      </c>
      <c r="Q6" s="146">
        <f t="shared" si="4"/>
        <v>0</v>
      </c>
      <c r="R6" s="146">
        <f t="shared" si="4"/>
        <v>0</v>
      </c>
      <c r="S6" s="146">
        <f t="shared" si="4"/>
        <v>0</v>
      </c>
    </row>
    <row r="7" spans="1:19" ht="15" customHeight="1" x14ac:dyDescent="0.2">
      <c r="A7" s="143"/>
      <c r="B7" s="155" t="s">
        <v>122</v>
      </c>
      <c r="C7" s="143"/>
      <c r="D7" s="163" t="s">
        <v>109</v>
      </c>
      <c r="E7" s="165" t="s">
        <v>149</v>
      </c>
      <c r="F7" s="143"/>
      <c r="G7" s="158">
        <v>3</v>
      </c>
      <c r="H7" s="160">
        <v>2</v>
      </c>
      <c r="I7" s="157">
        <f t="shared" ref="I7:S7" si="5">H7</f>
        <v>2</v>
      </c>
      <c r="J7" s="160">
        <v>1</v>
      </c>
      <c r="K7" s="160">
        <v>0</v>
      </c>
      <c r="L7" s="146">
        <f t="shared" si="5"/>
        <v>0</v>
      </c>
      <c r="M7" s="146">
        <f t="shared" si="5"/>
        <v>0</v>
      </c>
      <c r="N7" s="146">
        <f t="shared" si="5"/>
        <v>0</v>
      </c>
      <c r="O7" s="146">
        <f t="shared" si="5"/>
        <v>0</v>
      </c>
      <c r="P7" s="146">
        <f t="shared" si="5"/>
        <v>0</v>
      </c>
      <c r="Q7" s="146">
        <f t="shared" si="5"/>
        <v>0</v>
      </c>
      <c r="R7" s="146">
        <f t="shared" si="5"/>
        <v>0</v>
      </c>
      <c r="S7" s="146">
        <f t="shared" si="5"/>
        <v>0</v>
      </c>
    </row>
    <row r="8" spans="1:19" ht="25.5" x14ac:dyDescent="0.2">
      <c r="A8" s="143"/>
      <c r="B8" s="155" t="s">
        <v>138</v>
      </c>
      <c r="C8" s="143"/>
      <c r="D8" s="163" t="s">
        <v>146</v>
      </c>
      <c r="E8" s="165" t="s">
        <v>149</v>
      </c>
      <c r="F8" s="143"/>
      <c r="G8" s="158">
        <v>6</v>
      </c>
      <c r="H8" s="160">
        <v>8</v>
      </c>
      <c r="I8" s="160">
        <v>3</v>
      </c>
      <c r="J8" s="160">
        <v>0</v>
      </c>
      <c r="K8" s="146">
        <f t="shared" ref="K8:S8" si="6">J8</f>
        <v>0</v>
      </c>
      <c r="L8" s="146">
        <f t="shared" si="6"/>
        <v>0</v>
      </c>
      <c r="M8" s="146">
        <f t="shared" si="6"/>
        <v>0</v>
      </c>
      <c r="N8" s="146">
        <f t="shared" si="6"/>
        <v>0</v>
      </c>
      <c r="O8" s="146">
        <f t="shared" si="6"/>
        <v>0</v>
      </c>
      <c r="P8" s="146">
        <f t="shared" si="6"/>
        <v>0</v>
      </c>
      <c r="Q8" s="146">
        <f t="shared" si="6"/>
        <v>0</v>
      </c>
      <c r="R8" s="146">
        <f t="shared" si="6"/>
        <v>0</v>
      </c>
      <c r="S8" s="146">
        <f t="shared" si="6"/>
        <v>0</v>
      </c>
    </row>
    <row r="9" spans="1:19" ht="25.5" x14ac:dyDescent="0.2">
      <c r="A9" s="143"/>
      <c r="B9" s="155" t="s">
        <v>139</v>
      </c>
      <c r="C9" s="143"/>
      <c r="D9" s="163" t="s">
        <v>109</v>
      </c>
      <c r="E9" s="165" t="s">
        <v>149</v>
      </c>
      <c r="F9" s="143"/>
      <c r="G9" s="158">
        <v>6</v>
      </c>
      <c r="H9" s="160">
        <v>6</v>
      </c>
      <c r="I9" s="160">
        <v>4</v>
      </c>
      <c r="J9" s="160">
        <v>0</v>
      </c>
      <c r="K9" s="146">
        <f t="shared" ref="K9:S9" si="7">J9</f>
        <v>0</v>
      </c>
      <c r="L9" s="146">
        <f t="shared" si="7"/>
        <v>0</v>
      </c>
      <c r="M9" s="146">
        <f t="shared" si="7"/>
        <v>0</v>
      </c>
      <c r="N9" s="146">
        <f t="shared" si="7"/>
        <v>0</v>
      </c>
      <c r="O9" s="146">
        <f t="shared" si="7"/>
        <v>0</v>
      </c>
      <c r="P9" s="146">
        <f t="shared" si="7"/>
        <v>0</v>
      </c>
      <c r="Q9" s="146">
        <f t="shared" si="7"/>
        <v>0</v>
      </c>
      <c r="R9" s="146">
        <f t="shared" si="7"/>
        <v>0</v>
      </c>
      <c r="S9" s="146">
        <f t="shared" si="7"/>
        <v>0</v>
      </c>
    </row>
    <row r="10" spans="1:19" ht="38.25" x14ac:dyDescent="0.2">
      <c r="A10" s="143"/>
      <c r="B10" s="155" t="s">
        <v>143</v>
      </c>
      <c r="C10" s="143"/>
      <c r="D10" s="163" t="s">
        <v>147</v>
      </c>
      <c r="E10" s="165" t="s">
        <v>149</v>
      </c>
      <c r="F10" s="143"/>
      <c r="G10" s="158">
        <v>5</v>
      </c>
      <c r="H10" s="157">
        <f t="shared" ref="H10:S10" si="8">G10</f>
        <v>5</v>
      </c>
      <c r="I10" s="160">
        <v>3</v>
      </c>
      <c r="J10" s="160">
        <v>0</v>
      </c>
      <c r="K10" s="146">
        <f t="shared" si="8"/>
        <v>0</v>
      </c>
      <c r="L10" s="146">
        <f t="shared" si="8"/>
        <v>0</v>
      </c>
      <c r="M10" s="146">
        <f t="shared" si="8"/>
        <v>0</v>
      </c>
      <c r="N10" s="146">
        <f t="shared" si="8"/>
        <v>0</v>
      </c>
      <c r="O10" s="146">
        <f t="shared" si="8"/>
        <v>0</v>
      </c>
      <c r="P10" s="146">
        <f t="shared" si="8"/>
        <v>0</v>
      </c>
      <c r="Q10" s="146">
        <f t="shared" si="8"/>
        <v>0</v>
      </c>
      <c r="R10" s="146">
        <f t="shared" si="8"/>
        <v>0</v>
      </c>
      <c r="S10" s="146">
        <f t="shared" si="8"/>
        <v>0</v>
      </c>
    </row>
    <row r="11" spans="1:19" ht="25.5" x14ac:dyDescent="0.2">
      <c r="A11" s="143"/>
      <c r="B11" s="155" t="s">
        <v>140</v>
      </c>
      <c r="C11" s="143"/>
      <c r="D11" s="163" t="s">
        <v>103</v>
      </c>
      <c r="E11" s="165" t="s">
        <v>149</v>
      </c>
      <c r="F11" s="143"/>
      <c r="G11" s="158">
        <v>4</v>
      </c>
      <c r="H11" s="160">
        <v>0</v>
      </c>
      <c r="I11" s="146">
        <f t="shared" ref="I11:S11" si="9">H11</f>
        <v>0</v>
      </c>
      <c r="J11" s="146">
        <f t="shared" si="9"/>
        <v>0</v>
      </c>
      <c r="K11" s="146">
        <f t="shared" si="9"/>
        <v>0</v>
      </c>
      <c r="L11" s="146">
        <f t="shared" si="9"/>
        <v>0</v>
      </c>
      <c r="M11" s="146">
        <f t="shared" si="9"/>
        <v>0</v>
      </c>
      <c r="N11" s="146">
        <f t="shared" si="9"/>
        <v>0</v>
      </c>
      <c r="O11" s="146">
        <f t="shared" si="9"/>
        <v>0</v>
      </c>
      <c r="P11" s="146">
        <f t="shared" si="9"/>
        <v>0</v>
      </c>
      <c r="Q11" s="146">
        <f t="shared" si="9"/>
        <v>0</v>
      </c>
      <c r="R11" s="146">
        <f t="shared" si="9"/>
        <v>0</v>
      </c>
      <c r="S11" s="146">
        <f t="shared" si="9"/>
        <v>0</v>
      </c>
    </row>
    <row r="12" spans="1:19" ht="15" customHeight="1" x14ac:dyDescent="0.2">
      <c r="A12" s="143"/>
      <c r="B12" s="155" t="s">
        <v>141</v>
      </c>
      <c r="C12" s="143"/>
      <c r="D12" s="163" t="s">
        <v>103</v>
      </c>
      <c r="E12" s="165" t="s">
        <v>149</v>
      </c>
      <c r="F12" s="143"/>
      <c r="G12" s="158">
        <v>6</v>
      </c>
      <c r="H12" s="160">
        <v>2</v>
      </c>
      <c r="I12" s="157">
        <f t="shared" ref="I12:S12" si="10">H12</f>
        <v>2</v>
      </c>
      <c r="J12" s="157">
        <f t="shared" si="10"/>
        <v>2</v>
      </c>
      <c r="K12" s="160">
        <v>1</v>
      </c>
      <c r="L12" s="160">
        <v>0</v>
      </c>
      <c r="M12" s="146">
        <f t="shared" si="10"/>
        <v>0</v>
      </c>
      <c r="N12" s="146">
        <f t="shared" si="10"/>
        <v>0</v>
      </c>
      <c r="O12" s="146">
        <f t="shared" si="10"/>
        <v>0</v>
      </c>
      <c r="P12" s="146">
        <f t="shared" si="10"/>
        <v>0</v>
      </c>
      <c r="Q12" s="146">
        <f t="shared" si="10"/>
        <v>0</v>
      </c>
      <c r="R12" s="146">
        <f t="shared" si="10"/>
        <v>0</v>
      </c>
      <c r="S12" s="146">
        <f t="shared" si="10"/>
        <v>0</v>
      </c>
    </row>
    <row r="13" spans="1:19" ht="25.5" x14ac:dyDescent="0.2">
      <c r="A13" s="143"/>
      <c r="B13" s="155" t="s">
        <v>142</v>
      </c>
      <c r="C13" s="143"/>
      <c r="D13" s="163" t="s">
        <v>107</v>
      </c>
      <c r="E13" s="165" t="s">
        <v>149</v>
      </c>
      <c r="F13" s="143"/>
      <c r="G13" s="158">
        <v>6</v>
      </c>
      <c r="H13" s="160">
        <v>3</v>
      </c>
      <c r="I13" s="157">
        <f t="shared" ref="I13:S13" si="11">H13</f>
        <v>3</v>
      </c>
      <c r="J13" s="160">
        <v>2</v>
      </c>
      <c r="K13" s="157">
        <f t="shared" si="11"/>
        <v>2</v>
      </c>
      <c r="L13" s="160">
        <v>0</v>
      </c>
      <c r="M13" s="146">
        <f t="shared" si="11"/>
        <v>0</v>
      </c>
      <c r="N13" s="146">
        <f t="shared" si="11"/>
        <v>0</v>
      </c>
      <c r="O13" s="146">
        <f t="shared" si="11"/>
        <v>0</v>
      </c>
      <c r="P13" s="146">
        <f t="shared" si="11"/>
        <v>0</v>
      </c>
      <c r="Q13" s="146">
        <f t="shared" si="11"/>
        <v>0</v>
      </c>
      <c r="R13" s="146">
        <f t="shared" si="11"/>
        <v>0</v>
      </c>
      <c r="S13" s="146">
        <f t="shared" si="11"/>
        <v>0</v>
      </c>
    </row>
    <row r="14" spans="1:19" ht="43.5" customHeight="1" x14ac:dyDescent="0.2">
      <c r="A14" s="155"/>
      <c r="B14" s="155" t="s">
        <v>112</v>
      </c>
      <c r="C14" s="143"/>
      <c r="D14" s="163" t="s">
        <v>104</v>
      </c>
      <c r="E14" s="165" t="s">
        <v>149</v>
      </c>
      <c r="F14" s="143"/>
      <c r="G14" s="158">
        <v>4</v>
      </c>
      <c r="H14" s="157">
        <f t="shared" ref="H14:S14" si="12">G14</f>
        <v>4</v>
      </c>
      <c r="I14" s="160">
        <v>2</v>
      </c>
      <c r="J14" s="160">
        <v>1</v>
      </c>
      <c r="K14" s="160">
        <v>0</v>
      </c>
      <c r="L14" s="146">
        <f t="shared" si="12"/>
        <v>0</v>
      </c>
      <c r="M14" s="146">
        <f t="shared" si="12"/>
        <v>0</v>
      </c>
      <c r="N14" s="146">
        <f t="shared" si="12"/>
        <v>0</v>
      </c>
      <c r="O14" s="146">
        <f t="shared" si="12"/>
        <v>0</v>
      </c>
      <c r="P14" s="146">
        <f t="shared" si="12"/>
        <v>0</v>
      </c>
      <c r="Q14" s="146">
        <f t="shared" si="12"/>
        <v>0</v>
      </c>
      <c r="R14" s="146">
        <f t="shared" si="12"/>
        <v>0</v>
      </c>
      <c r="S14" s="146">
        <f t="shared" si="12"/>
        <v>0</v>
      </c>
    </row>
    <row r="15" spans="1:19" ht="43.5" customHeight="1" x14ac:dyDescent="0.2">
      <c r="A15" s="143"/>
      <c r="B15" s="155" t="s">
        <v>150</v>
      </c>
      <c r="C15" s="143"/>
      <c r="D15" s="163" t="s">
        <v>105</v>
      </c>
      <c r="E15" s="165" t="s">
        <v>149</v>
      </c>
      <c r="F15" s="143"/>
      <c r="G15" s="158">
        <v>6</v>
      </c>
      <c r="H15" s="157">
        <f t="shared" ref="H15:S15" si="13">G15</f>
        <v>6</v>
      </c>
      <c r="I15" s="157">
        <f t="shared" si="13"/>
        <v>6</v>
      </c>
      <c r="J15" s="157">
        <f t="shared" si="13"/>
        <v>6</v>
      </c>
      <c r="K15" s="157">
        <f t="shared" si="13"/>
        <v>6</v>
      </c>
      <c r="L15" s="160">
        <v>7</v>
      </c>
      <c r="M15" s="160">
        <v>6</v>
      </c>
      <c r="N15" s="157">
        <f t="shared" si="13"/>
        <v>6</v>
      </c>
      <c r="O15" s="160">
        <v>5</v>
      </c>
      <c r="P15" s="157">
        <f t="shared" si="13"/>
        <v>5</v>
      </c>
      <c r="Q15" s="160">
        <v>2</v>
      </c>
      <c r="R15" s="160">
        <v>0</v>
      </c>
      <c r="S15" s="146">
        <f t="shared" si="13"/>
        <v>0</v>
      </c>
    </row>
    <row r="16" spans="1:19" ht="38.25" x14ac:dyDescent="0.2">
      <c r="A16" s="143"/>
      <c r="B16" s="155" t="s">
        <v>116</v>
      </c>
      <c r="C16" s="143"/>
      <c r="D16" s="163" t="s">
        <v>107</v>
      </c>
      <c r="E16" s="165" t="s">
        <v>149</v>
      </c>
      <c r="F16" s="143"/>
      <c r="G16" s="159">
        <v>4</v>
      </c>
      <c r="H16" s="157">
        <f t="shared" ref="H16:S16" si="14">G16</f>
        <v>4</v>
      </c>
      <c r="I16" s="157">
        <f t="shared" si="14"/>
        <v>4</v>
      </c>
      <c r="J16" s="157">
        <f t="shared" si="14"/>
        <v>4</v>
      </c>
      <c r="K16" s="160">
        <v>3</v>
      </c>
      <c r="L16" s="157">
        <f t="shared" si="14"/>
        <v>3</v>
      </c>
      <c r="M16" s="157">
        <f t="shared" si="14"/>
        <v>3</v>
      </c>
      <c r="N16" s="157">
        <f t="shared" si="14"/>
        <v>3</v>
      </c>
      <c r="O16" s="160">
        <v>2</v>
      </c>
      <c r="P16" s="157">
        <f t="shared" si="14"/>
        <v>2</v>
      </c>
      <c r="Q16" s="160">
        <v>0</v>
      </c>
      <c r="R16" s="146">
        <f t="shared" si="14"/>
        <v>0</v>
      </c>
      <c r="S16" s="146">
        <f t="shared" si="14"/>
        <v>0</v>
      </c>
    </row>
    <row r="17" spans="1:19" ht="66.75" customHeight="1" x14ac:dyDescent="0.2">
      <c r="A17" s="143" t="s">
        <v>113</v>
      </c>
      <c r="B17" s="155" t="s">
        <v>114</v>
      </c>
      <c r="C17" s="143"/>
      <c r="D17" s="163" t="s">
        <v>103</v>
      </c>
      <c r="E17" s="165" t="s">
        <v>149</v>
      </c>
      <c r="F17" s="143"/>
      <c r="G17" s="158">
        <v>4</v>
      </c>
      <c r="H17" s="157">
        <f t="shared" ref="H17:S17" si="15">G17</f>
        <v>4</v>
      </c>
      <c r="I17" s="157">
        <f t="shared" si="15"/>
        <v>4</v>
      </c>
      <c r="J17" s="157">
        <f t="shared" si="15"/>
        <v>4</v>
      </c>
      <c r="K17" s="157">
        <f t="shared" si="15"/>
        <v>4</v>
      </c>
      <c r="L17" s="157">
        <f t="shared" si="15"/>
        <v>4</v>
      </c>
      <c r="M17" s="157">
        <f t="shared" si="15"/>
        <v>4</v>
      </c>
      <c r="N17" s="157">
        <f t="shared" si="15"/>
        <v>4</v>
      </c>
      <c r="O17" s="157">
        <f t="shared" si="15"/>
        <v>4</v>
      </c>
      <c r="P17" s="157">
        <f t="shared" si="15"/>
        <v>4</v>
      </c>
      <c r="Q17" s="157">
        <f t="shared" si="15"/>
        <v>4</v>
      </c>
      <c r="R17" s="160">
        <v>0</v>
      </c>
      <c r="S17" s="146">
        <f t="shared" si="15"/>
        <v>0</v>
      </c>
    </row>
    <row r="18" spans="1:19" ht="38.25" x14ac:dyDescent="0.2">
      <c r="A18" s="143"/>
      <c r="B18" s="155" t="s">
        <v>115</v>
      </c>
      <c r="C18" s="143"/>
      <c r="D18" s="163" t="s">
        <v>109</v>
      </c>
      <c r="E18" s="165" t="s">
        <v>149</v>
      </c>
      <c r="F18" s="143"/>
      <c r="G18" s="158">
        <v>4</v>
      </c>
      <c r="H18" s="157">
        <f t="shared" ref="H18:S18" si="16">G18</f>
        <v>4</v>
      </c>
      <c r="I18" s="157">
        <f t="shared" si="16"/>
        <v>4</v>
      </c>
      <c r="J18" s="157">
        <f t="shared" si="16"/>
        <v>4</v>
      </c>
      <c r="K18" s="157">
        <f t="shared" si="16"/>
        <v>4</v>
      </c>
      <c r="L18" s="160">
        <v>2</v>
      </c>
      <c r="M18" s="157">
        <f t="shared" si="16"/>
        <v>2</v>
      </c>
      <c r="N18" s="157">
        <f t="shared" si="16"/>
        <v>2</v>
      </c>
      <c r="O18" s="160">
        <v>0</v>
      </c>
      <c r="P18" s="146">
        <f t="shared" si="16"/>
        <v>0</v>
      </c>
      <c r="Q18" s="146">
        <f t="shared" si="16"/>
        <v>0</v>
      </c>
      <c r="R18" s="146">
        <f t="shared" si="16"/>
        <v>0</v>
      </c>
      <c r="S18" s="146">
        <f t="shared" si="16"/>
        <v>0</v>
      </c>
    </row>
    <row r="19" spans="1:19" ht="40.5" customHeight="1" x14ac:dyDescent="0.2">
      <c r="A19" s="143" t="s">
        <v>117</v>
      </c>
      <c r="B19" s="155" t="s">
        <v>118</v>
      </c>
      <c r="C19" s="143"/>
      <c r="D19" s="163" t="s">
        <v>108</v>
      </c>
      <c r="E19" s="165" t="s">
        <v>149</v>
      </c>
      <c r="F19" s="143"/>
      <c r="G19" s="158">
        <v>6</v>
      </c>
      <c r="H19" s="160">
        <v>3</v>
      </c>
      <c r="I19" s="160">
        <v>1</v>
      </c>
      <c r="J19" s="157">
        <f t="shared" ref="J19:S19" si="17">I19</f>
        <v>1</v>
      </c>
      <c r="K19" s="160">
        <v>0</v>
      </c>
      <c r="L19" s="146">
        <f t="shared" si="17"/>
        <v>0</v>
      </c>
      <c r="M19" s="146">
        <f t="shared" si="17"/>
        <v>0</v>
      </c>
      <c r="N19" s="146">
        <f t="shared" si="17"/>
        <v>0</v>
      </c>
      <c r="O19" s="146">
        <f t="shared" si="17"/>
        <v>0</v>
      </c>
      <c r="P19" s="146">
        <f t="shared" si="17"/>
        <v>0</v>
      </c>
      <c r="Q19" s="146">
        <f t="shared" si="17"/>
        <v>0</v>
      </c>
      <c r="R19" s="146">
        <f t="shared" si="17"/>
        <v>0</v>
      </c>
      <c r="S19" s="146">
        <f t="shared" si="17"/>
        <v>0</v>
      </c>
    </row>
    <row r="20" spans="1:19" ht="40.5" customHeight="1" x14ac:dyDescent="0.2">
      <c r="A20" s="143"/>
      <c r="B20" s="155" t="s">
        <v>123</v>
      </c>
      <c r="C20" s="143"/>
      <c r="D20" s="163" t="s">
        <v>108</v>
      </c>
      <c r="E20" s="165" t="s">
        <v>149</v>
      </c>
      <c r="F20" s="143"/>
      <c r="G20" s="158">
        <v>3</v>
      </c>
      <c r="H20" s="160">
        <v>2</v>
      </c>
      <c r="I20" s="160">
        <v>1</v>
      </c>
      <c r="J20" s="157">
        <f t="shared" ref="J20:S20" si="18">I20</f>
        <v>1</v>
      </c>
      <c r="K20" s="160">
        <v>0</v>
      </c>
      <c r="L20" s="146">
        <f t="shared" si="18"/>
        <v>0</v>
      </c>
      <c r="M20" s="146">
        <f t="shared" si="18"/>
        <v>0</v>
      </c>
      <c r="N20" s="146">
        <f t="shared" si="18"/>
        <v>0</v>
      </c>
      <c r="O20" s="146">
        <f t="shared" si="18"/>
        <v>0</v>
      </c>
      <c r="P20" s="146">
        <f t="shared" si="18"/>
        <v>0</v>
      </c>
      <c r="Q20" s="146">
        <f t="shared" si="18"/>
        <v>0</v>
      </c>
      <c r="R20" s="146">
        <f t="shared" si="18"/>
        <v>0</v>
      </c>
      <c r="S20" s="146">
        <f t="shared" si="18"/>
        <v>0</v>
      </c>
    </row>
    <row r="21" spans="1:19" ht="25.5" x14ac:dyDescent="0.2">
      <c r="A21" s="155" t="s">
        <v>120</v>
      </c>
      <c r="B21" s="155" t="s">
        <v>124</v>
      </c>
      <c r="C21" s="143"/>
      <c r="D21" s="163" t="s">
        <v>109</v>
      </c>
      <c r="E21" s="164" t="s">
        <v>148</v>
      </c>
      <c r="F21" s="143"/>
      <c r="G21" s="158">
        <v>3</v>
      </c>
      <c r="H21" s="157">
        <f t="shared" ref="H21:S21" si="19">G21</f>
        <v>3</v>
      </c>
      <c r="I21" s="157">
        <f t="shared" si="19"/>
        <v>3</v>
      </c>
      <c r="J21" s="157">
        <f t="shared" si="19"/>
        <v>3</v>
      </c>
      <c r="K21" s="160">
        <v>1</v>
      </c>
      <c r="L21" s="157">
        <f t="shared" si="19"/>
        <v>1</v>
      </c>
      <c r="M21" s="157">
        <f t="shared" si="19"/>
        <v>1</v>
      </c>
      <c r="N21" s="157">
        <f t="shared" si="19"/>
        <v>1</v>
      </c>
      <c r="O21" s="157">
        <f t="shared" si="19"/>
        <v>1</v>
      </c>
      <c r="P21" s="157">
        <f t="shared" si="19"/>
        <v>1</v>
      </c>
      <c r="Q21" s="157">
        <f t="shared" si="19"/>
        <v>1</v>
      </c>
      <c r="R21" s="157">
        <f t="shared" si="19"/>
        <v>1</v>
      </c>
      <c r="S21" s="157">
        <f t="shared" si="19"/>
        <v>1</v>
      </c>
    </row>
    <row r="22" spans="1:19" ht="38.25" x14ac:dyDescent="0.2">
      <c r="A22" s="143"/>
      <c r="B22" s="155" t="s">
        <v>125</v>
      </c>
      <c r="C22" s="143"/>
      <c r="D22" s="163" t="s">
        <v>109</v>
      </c>
      <c r="E22" s="164" t="s">
        <v>148</v>
      </c>
      <c r="F22" s="143"/>
      <c r="G22" s="158">
        <v>6</v>
      </c>
      <c r="H22" s="157">
        <f t="shared" ref="H22:S22" si="20">G22</f>
        <v>6</v>
      </c>
      <c r="I22" s="157">
        <f t="shared" si="20"/>
        <v>6</v>
      </c>
      <c r="J22" s="157">
        <f t="shared" si="20"/>
        <v>6</v>
      </c>
      <c r="K22" s="160">
        <v>3</v>
      </c>
      <c r="L22" s="157">
        <f t="shared" si="20"/>
        <v>3</v>
      </c>
      <c r="M22" s="157">
        <f t="shared" si="20"/>
        <v>3</v>
      </c>
      <c r="N22" s="157">
        <f t="shared" si="20"/>
        <v>3</v>
      </c>
      <c r="O22" s="157">
        <f t="shared" si="20"/>
        <v>3</v>
      </c>
      <c r="P22" s="157">
        <f t="shared" si="20"/>
        <v>3</v>
      </c>
      <c r="Q22" s="157">
        <f t="shared" si="20"/>
        <v>3</v>
      </c>
      <c r="R22" s="157">
        <f t="shared" si="20"/>
        <v>3</v>
      </c>
      <c r="S22" s="157">
        <f t="shared" si="20"/>
        <v>3</v>
      </c>
    </row>
    <row r="23" spans="1:19" ht="63.75" x14ac:dyDescent="0.2">
      <c r="A23" s="143" t="s">
        <v>119</v>
      </c>
      <c r="B23" s="155" t="s">
        <v>127</v>
      </c>
      <c r="C23" s="143"/>
      <c r="D23" s="162" t="s">
        <v>104</v>
      </c>
      <c r="E23" s="164" t="s">
        <v>148</v>
      </c>
      <c r="F23" s="143"/>
      <c r="G23" s="158">
        <v>4</v>
      </c>
      <c r="H23" s="157">
        <f t="shared" ref="H23:S23" si="21">G23</f>
        <v>4</v>
      </c>
      <c r="I23" s="157">
        <f t="shared" si="21"/>
        <v>4</v>
      </c>
      <c r="J23" s="157">
        <f t="shared" si="21"/>
        <v>4</v>
      </c>
      <c r="K23" s="157">
        <f t="shared" si="21"/>
        <v>4</v>
      </c>
      <c r="L23" s="157">
        <f t="shared" si="21"/>
        <v>4</v>
      </c>
      <c r="M23" s="157">
        <f t="shared" si="21"/>
        <v>4</v>
      </c>
      <c r="N23" s="157">
        <f t="shared" si="21"/>
        <v>4</v>
      </c>
      <c r="O23" s="160">
        <v>2</v>
      </c>
      <c r="P23" s="157">
        <f t="shared" si="21"/>
        <v>2</v>
      </c>
      <c r="Q23" s="157">
        <f t="shared" si="21"/>
        <v>2</v>
      </c>
      <c r="R23" s="157">
        <f t="shared" si="21"/>
        <v>2</v>
      </c>
      <c r="S23" s="157">
        <f t="shared" si="21"/>
        <v>2</v>
      </c>
    </row>
    <row r="24" spans="1:19" ht="58.5" customHeight="1" x14ac:dyDescent="0.2">
      <c r="A24" s="143"/>
      <c r="B24" s="155" t="s">
        <v>128</v>
      </c>
      <c r="C24" s="143"/>
      <c r="D24" s="162" t="s">
        <v>104</v>
      </c>
      <c r="E24" s="164" t="s">
        <v>148</v>
      </c>
      <c r="F24" s="143"/>
      <c r="G24" s="158">
        <v>6</v>
      </c>
      <c r="H24" s="157">
        <f t="shared" ref="H24:S24" si="22">G24</f>
        <v>6</v>
      </c>
      <c r="I24" s="160">
        <v>6</v>
      </c>
      <c r="J24" s="157">
        <f t="shared" si="22"/>
        <v>6</v>
      </c>
      <c r="K24" s="157">
        <f t="shared" si="22"/>
        <v>6</v>
      </c>
      <c r="L24" s="157">
        <f t="shared" si="22"/>
        <v>6</v>
      </c>
      <c r="M24" s="157">
        <f t="shared" si="22"/>
        <v>6</v>
      </c>
      <c r="N24" s="157">
        <f t="shared" si="22"/>
        <v>6</v>
      </c>
      <c r="O24" s="157">
        <f t="shared" si="22"/>
        <v>6</v>
      </c>
      <c r="P24" s="157">
        <f t="shared" si="22"/>
        <v>6</v>
      </c>
      <c r="Q24" s="160">
        <v>4</v>
      </c>
      <c r="R24" s="157">
        <f t="shared" si="22"/>
        <v>4</v>
      </c>
      <c r="S24" s="157">
        <f t="shared" si="22"/>
        <v>4</v>
      </c>
    </row>
    <row r="25" spans="1:19" ht="38.25" x14ac:dyDescent="0.2">
      <c r="A25" s="155" t="s">
        <v>126</v>
      </c>
      <c r="B25" s="155" t="s">
        <v>129</v>
      </c>
      <c r="C25" s="143"/>
      <c r="D25" s="163" t="s">
        <v>105</v>
      </c>
      <c r="E25" s="164" t="s">
        <v>148</v>
      </c>
      <c r="F25" s="143"/>
      <c r="G25" s="158">
        <v>4</v>
      </c>
      <c r="H25" s="157">
        <f t="shared" ref="H25:P25" si="23">G25</f>
        <v>4</v>
      </c>
      <c r="I25" s="157">
        <f t="shared" si="23"/>
        <v>4</v>
      </c>
      <c r="J25" s="157">
        <f t="shared" si="23"/>
        <v>4</v>
      </c>
      <c r="K25" s="157">
        <f t="shared" si="23"/>
        <v>4</v>
      </c>
      <c r="L25" s="157">
        <f t="shared" si="23"/>
        <v>4</v>
      </c>
      <c r="M25" s="157">
        <f t="shared" si="23"/>
        <v>4</v>
      </c>
      <c r="N25" s="157">
        <f t="shared" si="23"/>
        <v>4</v>
      </c>
      <c r="O25" s="157">
        <f t="shared" si="23"/>
        <v>4</v>
      </c>
      <c r="P25" s="157">
        <f t="shared" si="23"/>
        <v>4</v>
      </c>
      <c r="Q25" s="160">
        <v>3</v>
      </c>
      <c r="R25" s="160">
        <v>3</v>
      </c>
      <c r="S25" s="160">
        <v>3</v>
      </c>
    </row>
    <row r="26" spans="1:19" ht="63.75" x14ac:dyDescent="0.2">
      <c r="A26" s="143"/>
      <c r="B26" s="155" t="s">
        <v>130</v>
      </c>
      <c r="C26" s="143"/>
      <c r="D26" s="163" t="s">
        <v>105</v>
      </c>
      <c r="E26" s="161" t="s">
        <v>137</v>
      </c>
      <c r="F26" s="143"/>
      <c r="G26" s="158">
        <v>4</v>
      </c>
      <c r="H26" s="157">
        <f t="shared" ref="H26:S26" si="24">G26</f>
        <v>4</v>
      </c>
      <c r="I26" s="157">
        <f t="shared" si="24"/>
        <v>4</v>
      </c>
      <c r="J26" s="157">
        <f t="shared" si="24"/>
        <v>4</v>
      </c>
      <c r="K26" s="157">
        <f t="shared" si="24"/>
        <v>4</v>
      </c>
      <c r="L26" s="157">
        <f t="shared" si="24"/>
        <v>4</v>
      </c>
      <c r="M26" s="157">
        <f t="shared" si="24"/>
        <v>4</v>
      </c>
      <c r="N26" s="157">
        <f t="shared" si="24"/>
        <v>4</v>
      </c>
      <c r="O26" s="157">
        <f t="shared" si="24"/>
        <v>4</v>
      </c>
      <c r="P26" s="157">
        <f t="shared" si="24"/>
        <v>4</v>
      </c>
      <c r="Q26" s="157">
        <f t="shared" si="24"/>
        <v>4</v>
      </c>
      <c r="R26" s="157">
        <f t="shared" si="24"/>
        <v>4</v>
      </c>
      <c r="S26" s="157">
        <f t="shared" si="24"/>
        <v>4</v>
      </c>
    </row>
    <row r="27" spans="1:19" ht="51" x14ac:dyDescent="0.2">
      <c r="A27" s="155" t="s">
        <v>131</v>
      </c>
      <c r="B27" s="155" t="s">
        <v>132</v>
      </c>
      <c r="C27" s="143"/>
      <c r="D27" s="163" t="s">
        <v>107</v>
      </c>
      <c r="E27" s="161" t="s">
        <v>137</v>
      </c>
      <c r="F27" s="143"/>
      <c r="G27" s="158">
        <v>5</v>
      </c>
      <c r="H27" s="157">
        <f t="shared" ref="H27:S27" si="25">G27</f>
        <v>5</v>
      </c>
      <c r="I27" s="157">
        <f t="shared" si="25"/>
        <v>5</v>
      </c>
      <c r="J27" s="157">
        <f t="shared" si="25"/>
        <v>5</v>
      </c>
      <c r="K27" s="157">
        <f t="shared" si="25"/>
        <v>5</v>
      </c>
      <c r="L27" s="157">
        <f t="shared" si="25"/>
        <v>5</v>
      </c>
      <c r="M27" s="157">
        <f t="shared" si="25"/>
        <v>5</v>
      </c>
      <c r="N27" s="157">
        <f t="shared" si="25"/>
        <v>5</v>
      </c>
      <c r="O27" s="157">
        <f t="shared" si="25"/>
        <v>5</v>
      </c>
      <c r="P27" s="157">
        <f t="shared" si="25"/>
        <v>5</v>
      </c>
      <c r="Q27" s="157">
        <f t="shared" si="25"/>
        <v>5</v>
      </c>
      <c r="R27" s="157">
        <f t="shared" si="25"/>
        <v>5</v>
      </c>
      <c r="S27" s="157">
        <f t="shared" si="25"/>
        <v>5</v>
      </c>
    </row>
    <row r="28" spans="1:19" ht="63.75" x14ac:dyDescent="0.2">
      <c r="A28" s="143"/>
      <c r="B28" s="155" t="s">
        <v>133</v>
      </c>
      <c r="C28" s="143"/>
      <c r="D28" s="163" t="s">
        <v>107</v>
      </c>
      <c r="E28" s="161" t="s">
        <v>137</v>
      </c>
      <c r="F28" s="143"/>
      <c r="G28" s="158">
        <v>6</v>
      </c>
      <c r="H28" s="157">
        <f t="shared" ref="H28:S28" si="26">G28</f>
        <v>6</v>
      </c>
      <c r="I28" s="157">
        <f t="shared" si="26"/>
        <v>6</v>
      </c>
      <c r="J28" s="157">
        <f t="shared" si="26"/>
        <v>6</v>
      </c>
      <c r="K28" s="157">
        <f t="shared" si="26"/>
        <v>6</v>
      </c>
      <c r="L28" s="157">
        <f t="shared" si="26"/>
        <v>6</v>
      </c>
      <c r="M28" s="157">
        <f t="shared" si="26"/>
        <v>6</v>
      </c>
      <c r="N28" s="157">
        <f t="shared" si="26"/>
        <v>6</v>
      </c>
      <c r="O28" s="157">
        <f t="shared" si="26"/>
        <v>6</v>
      </c>
      <c r="P28" s="157">
        <f t="shared" si="26"/>
        <v>6</v>
      </c>
      <c r="Q28" s="157">
        <f t="shared" si="26"/>
        <v>6</v>
      </c>
      <c r="R28" s="157">
        <f t="shared" si="26"/>
        <v>6</v>
      </c>
      <c r="S28" s="157">
        <f t="shared" si="26"/>
        <v>6</v>
      </c>
    </row>
    <row r="29" spans="1:19" ht="51" x14ac:dyDescent="0.2">
      <c r="A29" s="143" t="s">
        <v>134</v>
      </c>
      <c r="B29" s="155" t="s">
        <v>135</v>
      </c>
      <c r="C29" s="143"/>
      <c r="D29" s="163" t="s">
        <v>106</v>
      </c>
      <c r="E29" s="161" t="s">
        <v>137</v>
      </c>
      <c r="F29" s="143"/>
      <c r="G29" s="158">
        <v>6</v>
      </c>
      <c r="H29" s="157">
        <f t="shared" ref="H29:S29" si="27">G29</f>
        <v>6</v>
      </c>
      <c r="I29" s="157">
        <f t="shared" si="27"/>
        <v>6</v>
      </c>
      <c r="J29" s="157">
        <f t="shared" si="27"/>
        <v>6</v>
      </c>
      <c r="K29" s="157">
        <f t="shared" si="27"/>
        <v>6</v>
      </c>
      <c r="L29" s="157">
        <f t="shared" si="27"/>
        <v>6</v>
      </c>
      <c r="M29" s="157">
        <f t="shared" si="27"/>
        <v>6</v>
      </c>
      <c r="N29" s="157">
        <f t="shared" si="27"/>
        <v>6</v>
      </c>
      <c r="O29" s="157">
        <f t="shared" si="27"/>
        <v>6</v>
      </c>
      <c r="P29" s="157">
        <f t="shared" si="27"/>
        <v>6</v>
      </c>
      <c r="Q29" s="157">
        <f t="shared" si="27"/>
        <v>6</v>
      </c>
      <c r="R29" s="157">
        <f t="shared" si="27"/>
        <v>6</v>
      </c>
      <c r="S29" s="157">
        <f t="shared" si="27"/>
        <v>6</v>
      </c>
    </row>
    <row r="30" spans="1:19" ht="76.5" x14ac:dyDescent="0.2">
      <c r="A30" s="143"/>
      <c r="B30" s="155" t="s">
        <v>136</v>
      </c>
      <c r="C30" s="143"/>
      <c r="D30" s="163" t="s">
        <v>106</v>
      </c>
      <c r="E30" s="161" t="s">
        <v>137</v>
      </c>
      <c r="F30" s="143"/>
      <c r="G30" s="158">
        <v>6</v>
      </c>
      <c r="H30" s="157">
        <f t="shared" ref="H30:S30" si="28">G30</f>
        <v>6</v>
      </c>
      <c r="I30" s="157">
        <f t="shared" si="28"/>
        <v>6</v>
      </c>
      <c r="J30" s="157">
        <f t="shared" si="28"/>
        <v>6</v>
      </c>
      <c r="K30" s="157">
        <f t="shared" si="28"/>
        <v>6</v>
      </c>
      <c r="L30" s="157">
        <f t="shared" si="28"/>
        <v>6</v>
      </c>
      <c r="M30" s="157">
        <f t="shared" si="28"/>
        <v>6</v>
      </c>
      <c r="N30" s="157">
        <f t="shared" si="28"/>
        <v>6</v>
      </c>
      <c r="O30" s="157">
        <f t="shared" si="28"/>
        <v>6</v>
      </c>
      <c r="P30" s="157">
        <f t="shared" si="28"/>
        <v>6</v>
      </c>
      <c r="Q30" s="157">
        <f t="shared" si="28"/>
        <v>6</v>
      </c>
      <c r="R30" s="157">
        <f t="shared" si="28"/>
        <v>6</v>
      </c>
      <c r="S30" s="157">
        <f t="shared" si="28"/>
        <v>6</v>
      </c>
    </row>
    <row r="31" spans="1:19" ht="12.75" x14ac:dyDescent="0.2">
      <c r="A31" s="143"/>
      <c r="B31" s="143"/>
      <c r="C31" s="143"/>
      <c r="D31" s="144"/>
      <c r="E31" s="156"/>
      <c r="F31" s="143"/>
      <c r="G31" s="158"/>
      <c r="H31" s="146">
        <f t="shared" ref="H31:S31" si="29">G31</f>
        <v>0</v>
      </c>
      <c r="I31" s="146">
        <f t="shared" si="29"/>
        <v>0</v>
      </c>
      <c r="J31" s="146">
        <f t="shared" si="29"/>
        <v>0</v>
      </c>
      <c r="K31" s="146">
        <f t="shared" si="29"/>
        <v>0</v>
      </c>
      <c r="L31" s="146">
        <f t="shared" si="29"/>
        <v>0</v>
      </c>
      <c r="M31" s="146">
        <f t="shared" si="29"/>
        <v>0</v>
      </c>
      <c r="N31" s="146">
        <f t="shared" si="29"/>
        <v>0</v>
      </c>
      <c r="O31" s="146">
        <f t="shared" si="29"/>
        <v>0</v>
      </c>
      <c r="P31" s="146">
        <f t="shared" si="29"/>
        <v>0</v>
      </c>
      <c r="Q31" s="146">
        <f t="shared" si="29"/>
        <v>0</v>
      </c>
      <c r="R31" s="146">
        <f t="shared" si="29"/>
        <v>0</v>
      </c>
      <c r="S31" s="146">
        <f t="shared" si="29"/>
        <v>0</v>
      </c>
    </row>
    <row r="32" spans="1:19" ht="12.75" x14ac:dyDescent="0.2">
      <c r="A32" s="143"/>
      <c r="B32" s="143"/>
      <c r="C32" s="143"/>
      <c r="D32" s="144"/>
      <c r="E32" s="143"/>
      <c r="F32" s="143"/>
      <c r="G32" s="145"/>
      <c r="H32" s="146">
        <f t="shared" ref="H32:S32" si="30">G32</f>
        <v>0</v>
      </c>
      <c r="I32" s="146">
        <f t="shared" si="30"/>
        <v>0</v>
      </c>
      <c r="J32" s="146">
        <f t="shared" si="30"/>
        <v>0</v>
      </c>
      <c r="K32" s="146">
        <f t="shared" si="30"/>
        <v>0</v>
      </c>
      <c r="L32" s="146">
        <f t="shared" si="30"/>
        <v>0</v>
      </c>
      <c r="M32" s="146">
        <f t="shared" si="30"/>
        <v>0</v>
      </c>
      <c r="N32" s="146">
        <f t="shared" si="30"/>
        <v>0</v>
      </c>
      <c r="O32" s="146">
        <f t="shared" si="30"/>
        <v>0</v>
      </c>
      <c r="P32" s="146">
        <f t="shared" si="30"/>
        <v>0</v>
      </c>
      <c r="Q32" s="146">
        <f t="shared" si="30"/>
        <v>0</v>
      </c>
      <c r="R32" s="146">
        <f t="shared" si="30"/>
        <v>0</v>
      </c>
      <c r="S32" s="146">
        <f t="shared" si="30"/>
        <v>0</v>
      </c>
    </row>
    <row r="33" spans="1:19" ht="12.75" x14ac:dyDescent="0.2">
      <c r="A33" s="143"/>
      <c r="B33" s="143"/>
      <c r="C33" s="143"/>
      <c r="D33" s="144"/>
      <c r="E33" s="143"/>
      <c r="F33" s="143"/>
      <c r="G33" s="145"/>
      <c r="H33" s="146">
        <f t="shared" ref="H33:S33" si="31">G33</f>
        <v>0</v>
      </c>
      <c r="I33" s="146">
        <f t="shared" si="31"/>
        <v>0</v>
      </c>
      <c r="J33" s="146">
        <f t="shared" si="31"/>
        <v>0</v>
      </c>
      <c r="K33" s="146">
        <f t="shared" si="31"/>
        <v>0</v>
      </c>
      <c r="L33" s="146">
        <f t="shared" si="31"/>
        <v>0</v>
      </c>
      <c r="M33" s="146">
        <f t="shared" si="31"/>
        <v>0</v>
      </c>
      <c r="N33" s="146">
        <f t="shared" si="31"/>
        <v>0</v>
      </c>
      <c r="O33" s="146">
        <f t="shared" si="31"/>
        <v>0</v>
      </c>
      <c r="P33" s="146">
        <f t="shared" si="31"/>
        <v>0</v>
      </c>
      <c r="Q33" s="146">
        <f t="shared" si="31"/>
        <v>0</v>
      </c>
      <c r="R33" s="146">
        <f t="shared" si="31"/>
        <v>0</v>
      </c>
      <c r="S33" s="146">
        <f t="shared" si="31"/>
        <v>0</v>
      </c>
    </row>
    <row r="34" spans="1:19" ht="12.75" x14ac:dyDescent="0.2">
      <c r="A34" s="143"/>
      <c r="B34" s="143"/>
      <c r="C34" s="143"/>
      <c r="D34" s="144"/>
      <c r="E34" s="143"/>
      <c r="F34" s="143"/>
      <c r="G34" s="145"/>
      <c r="H34" s="146">
        <f t="shared" ref="H34:S34" si="32">G34</f>
        <v>0</v>
      </c>
      <c r="I34" s="146">
        <f t="shared" si="32"/>
        <v>0</v>
      </c>
      <c r="J34" s="146">
        <f t="shared" si="32"/>
        <v>0</v>
      </c>
      <c r="K34" s="146">
        <f t="shared" si="32"/>
        <v>0</v>
      </c>
      <c r="L34" s="146">
        <f t="shared" si="32"/>
        <v>0</v>
      </c>
      <c r="M34" s="146">
        <f t="shared" si="32"/>
        <v>0</v>
      </c>
      <c r="N34" s="146">
        <f t="shared" si="32"/>
        <v>0</v>
      </c>
      <c r="O34" s="146">
        <f t="shared" si="32"/>
        <v>0</v>
      </c>
      <c r="P34" s="146">
        <f t="shared" si="32"/>
        <v>0</v>
      </c>
      <c r="Q34" s="146">
        <f t="shared" si="32"/>
        <v>0</v>
      </c>
      <c r="R34" s="146">
        <f t="shared" si="32"/>
        <v>0</v>
      </c>
      <c r="S34" s="146">
        <f t="shared" si="32"/>
        <v>0</v>
      </c>
    </row>
    <row r="35" spans="1:19" ht="12.75" x14ac:dyDescent="0.2">
      <c r="A35" s="143"/>
      <c r="B35" s="143"/>
      <c r="C35" s="143"/>
      <c r="D35" s="144"/>
      <c r="E35" s="143"/>
      <c r="F35" s="143"/>
      <c r="G35" s="145"/>
      <c r="H35" s="146">
        <f t="shared" ref="H35:S35" si="33">G35</f>
        <v>0</v>
      </c>
      <c r="I35" s="146">
        <f t="shared" si="33"/>
        <v>0</v>
      </c>
      <c r="J35" s="146">
        <f t="shared" si="33"/>
        <v>0</v>
      </c>
      <c r="K35" s="146">
        <f t="shared" si="33"/>
        <v>0</v>
      </c>
      <c r="L35" s="146">
        <f t="shared" si="33"/>
        <v>0</v>
      </c>
      <c r="M35" s="146">
        <f t="shared" si="33"/>
        <v>0</v>
      </c>
      <c r="N35" s="146">
        <f t="shared" si="33"/>
        <v>0</v>
      </c>
      <c r="O35" s="146">
        <f t="shared" si="33"/>
        <v>0</v>
      </c>
      <c r="P35" s="146">
        <f t="shared" si="33"/>
        <v>0</v>
      </c>
      <c r="Q35" s="146">
        <f t="shared" si="33"/>
        <v>0</v>
      </c>
      <c r="R35" s="146">
        <f t="shared" si="33"/>
        <v>0</v>
      </c>
      <c r="S35" s="146">
        <f t="shared" si="33"/>
        <v>0</v>
      </c>
    </row>
    <row r="36" spans="1:19" ht="12.75" x14ac:dyDescent="0.2">
      <c r="A36" s="143"/>
      <c r="B36" s="143"/>
      <c r="C36" s="143"/>
      <c r="D36" s="144"/>
      <c r="E36" s="143"/>
      <c r="F36" s="143"/>
      <c r="G36" s="145"/>
      <c r="H36" s="146">
        <f t="shared" ref="H36:S36" si="34">G36</f>
        <v>0</v>
      </c>
      <c r="I36" s="146">
        <f t="shared" si="34"/>
        <v>0</v>
      </c>
      <c r="J36" s="146">
        <f t="shared" si="34"/>
        <v>0</v>
      </c>
      <c r="K36" s="146">
        <f t="shared" si="34"/>
        <v>0</v>
      </c>
      <c r="L36" s="146">
        <f t="shared" si="34"/>
        <v>0</v>
      </c>
      <c r="M36" s="146">
        <f t="shared" si="34"/>
        <v>0</v>
      </c>
      <c r="N36" s="146">
        <f t="shared" si="34"/>
        <v>0</v>
      </c>
      <c r="O36" s="146">
        <f t="shared" si="34"/>
        <v>0</v>
      </c>
      <c r="P36" s="146">
        <f t="shared" si="34"/>
        <v>0</v>
      </c>
      <c r="Q36" s="146">
        <f t="shared" si="34"/>
        <v>0</v>
      </c>
      <c r="R36" s="146">
        <f t="shared" si="34"/>
        <v>0</v>
      </c>
      <c r="S36" s="146">
        <f t="shared" si="34"/>
        <v>0</v>
      </c>
    </row>
    <row r="37" spans="1:19" ht="12.75" x14ac:dyDescent="0.2">
      <c r="A37" s="143"/>
      <c r="B37" s="143"/>
      <c r="C37" s="143"/>
      <c r="D37" s="144"/>
      <c r="E37" s="143"/>
      <c r="F37" s="143"/>
      <c r="G37" s="145"/>
      <c r="H37" s="146">
        <f t="shared" ref="H37:S37" si="35">G37</f>
        <v>0</v>
      </c>
      <c r="I37" s="146">
        <f t="shared" si="35"/>
        <v>0</v>
      </c>
      <c r="J37" s="146">
        <f t="shared" si="35"/>
        <v>0</v>
      </c>
      <c r="K37" s="146">
        <f t="shared" si="35"/>
        <v>0</v>
      </c>
      <c r="L37" s="146">
        <f t="shared" si="35"/>
        <v>0</v>
      </c>
      <c r="M37" s="146">
        <f t="shared" si="35"/>
        <v>0</v>
      </c>
      <c r="N37" s="146">
        <f t="shared" si="35"/>
        <v>0</v>
      </c>
      <c r="O37" s="146">
        <f t="shared" si="35"/>
        <v>0</v>
      </c>
      <c r="P37" s="146">
        <f t="shared" si="35"/>
        <v>0</v>
      </c>
      <c r="Q37" s="146">
        <f t="shared" si="35"/>
        <v>0</v>
      </c>
      <c r="R37" s="146">
        <f t="shared" si="35"/>
        <v>0</v>
      </c>
      <c r="S37" s="146">
        <f t="shared" si="35"/>
        <v>0</v>
      </c>
    </row>
    <row r="38" spans="1:19" ht="12.75" x14ac:dyDescent="0.2">
      <c r="A38" s="143"/>
      <c r="B38" s="143"/>
      <c r="C38" s="143"/>
      <c r="D38" s="144"/>
      <c r="E38" s="143"/>
      <c r="F38" s="143"/>
      <c r="G38" s="145"/>
      <c r="H38" s="146">
        <f t="shared" ref="H38:S38" si="36">G38</f>
        <v>0</v>
      </c>
      <c r="I38" s="146">
        <f t="shared" si="36"/>
        <v>0</v>
      </c>
      <c r="J38" s="146">
        <f t="shared" si="36"/>
        <v>0</v>
      </c>
      <c r="K38" s="146">
        <f t="shared" si="36"/>
        <v>0</v>
      </c>
      <c r="L38" s="146">
        <f t="shared" si="36"/>
        <v>0</v>
      </c>
      <c r="M38" s="146">
        <f t="shared" si="36"/>
        <v>0</v>
      </c>
      <c r="N38" s="146">
        <f t="shared" si="36"/>
        <v>0</v>
      </c>
      <c r="O38" s="146">
        <f t="shared" si="36"/>
        <v>0</v>
      </c>
      <c r="P38" s="146">
        <f t="shared" si="36"/>
        <v>0</v>
      </c>
      <c r="Q38" s="146">
        <f t="shared" si="36"/>
        <v>0</v>
      </c>
      <c r="R38" s="146">
        <f t="shared" si="36"/>
        <v>0</v>
      </c>
      <c r="S38" s="146">
        <f t="shared" si="36"/>
        <v>0</v>
      </c>
    </row>
    <row r="39" spans="1:19" ht="12.75" x14ac:dyDescent="0.2">
      <c r="A39" s="143"/>
      <c r="B39" s="143"/>
      <c r="C39" s="143"/>
      <c r="D39" s="144"/>
      <c r="E39" s="143"/>
      <c r="F39" s="143"/>
      <c r="G39" s="145"/>
      <c r="H39" s="146">
        <f t="shared" ref="H39:S39" si="37">G39</f>
        <v>0</v>
      </c>
      <c r="I39" s="146">
        <f t="shared" si="37"/>
        <v>0</v>
      </c>
      <c r="J39" s="146">
        <f t="shared" si="37"/>
        <v>0</v>
      </c>
      <c r="K39" s="146">
        <f t="shared" si="37"/>
        <v>0</v>
      </c>
      <c r="L39" s="146">
        <f t="shared" si="37"/>
        <v>0</v>
      </c>
      <c r="M39" s="146">
        <f t="shared" si="37"/>
        <v>0</v>
      </c>
      <c r="N39" s="146">
        <f t="shared" si="37"/>
        <v>0</v>
      </c>
      <c r="O39" s="146">
        <f t="shared" si="37"/>
        <v>0</v>
      </c>
      <c r="P39" s="146">
        <f t="shared" si="37"/>
        <v>0</v>
      </c>
      <c r="Q39" s="146">
        <f t="shared" si="37"/>
        <v>0</v>
      </c>
      <c r="R39" s="146">
        <f t="shared" si="37"/>
        <v>0</v>
      </c>
      <c r="S39" s="146">
        <f t="shared" si="37"/>
        <v>0</v>
      </c>
    </row>
    <row r="40" spans="1:19" ht="12.75" x14ac:dyDescent="0.2">
      <c r="A40" s="143"/>
      <c r="B40" s="143"/>
      <c r="C40" s="143"/>
      <c r="D40" s="144"/>
      <c r="E40" s="143"/>
      <c r="F40" s="143"/>
      <c r="G40" s="145"/>
      <c r="H40" s="146">
        <f t="shared" ref="H40:S40" si="38">G40</f>
        <v>0</v>
      </c>
      <c r="I40" s="146">
        <f t="shared" si="38"/>
        <v>0</v>
      </c>
      <c r="J40" s="146">
        <f t="shared" si="38"/>
        <v>0</v>
      </c>
      <c r="K40" s="146">
        <f t="shared" si="38"/>
        <v>0</v>
      </c>
      <c r="L40" s="146">
        <f t="shared" si="38"/>
        <v>0</v>
      </c>
      <c r="M40" s="146">
        <f t="shared" si="38"/>
        <v>0</v>
      </c>
      <c r="N40" s="146">
        <f t="shared" si="38"/>
        <v>0</v>
      </c>
      <c r="O40" s="146">
        <f t="shared" si="38"/>
        <v>0</v>
      </c>
      <c r="P40" s="146">
        <f t="shared" si="38"/>
        <v>0</v>
      </c>
      <c r="Q40" s="146">
        <f t="shared" si="38"/>
        <v>0</v>
      </c>
      <c r="R40" s="146">
        <f t="shared" si="38"/>
        <v>0</v>
      </c>
      <c r="S40" s="146">
        <f t="shared" si="38"/>
        <v>0</v>
      </c>
    </row>
    <row r="41" spans="1:19" ht="12.75" x14ac:dyDescent="0.2">
      <c r="A41" s="143"/>
      <c r="B41" s="143"/>
      <c r="C41" s="143"/>
      <c r="D41" s="144"/>
      <c r="E41" s="143"/>
      <c r="F41" s="143"/>
      <c r="G41" s="145"/>
      <c r="H41" s="146">
        <f t="shared" ref="H41:S41" si="39">G41</f>
        <v>0</v>
      </c>
      <c r="I41" s="146">
        <f t="shared" si="39"/>
        <v>0</v>
      </c>
      <c r="J41" s="146">
        <f t="shared" si="39"/>
        <v>0</v>
      </c>
      <c r="K41" s="146">
        <f t="shared" si="39"/>
        <v>0</v>
      </c>
      <c r="L41" s="146">
        <f t="shared" si="39"/>
        <v>0</v>
      </c>
      <c r="M41" s="146">
        <f t="shared" si="39"/>
        <v>0</v>
      </c>
      <c r="N41" s="146">
        <f t="shared" si="39"/>
        <v>0</v>
      </c>
      <c r="O41" s="146">
        <f t="shared" si="39"/>
        <v>0</v>
      </c>
      <c r="P41" s="146">
        <f t="shared" si="39"/>
        <v>0</v>
      </c>
      <c r="Q41" s="146">
        <f t="shared" si="39"/>
        <v>0</v>
      </c>
      <c r="R41" s="146">
        <f t="shared" si="39"/>
        <v>0</v>
      </c>
      <c r="S41" s="146">
        <f t="shared" si="39"/>
        <v>0</v>
      </c>
    </row>
    <row r="42" spans="1:19" ht="12.75" x14ac:dyDescent="0.2">
      <c r="A42" s="143"/>
      <c r="B42" s="143"/>
      <c r="C42" s="143"/>
      <c r="D42" s="144"/>
      <c r="E42" s="143"/>
      <c r="F42" s="143"/>
      <c r="G42" s="145"/>
      <c r="H42" s="146">
        <f t="shared" ref="H42:S42" si="40">G42</f>
        <v>0</v>
      </c>
      <c r="I42" s="146">
        <f t="shared" si="40"/>
        <v>0</v>
      </c>
      <c r="J42" s="146">
        <f t="shared" si="40"/>
        <v>0</v>
      </c>
      <c r="K42" s="146">
        <f t="shared" si="40"/>
        <v>0</v>
      </c>
      <c r="L42" s="146">
        <f t="shared" si="40"/>
        <v>0</v>
      </c>
      <c r="M42" s="146">
        <f t="shared" si="40"/>
        <v>0</v>
      </c>
      <c r="N42" s="146">
        <f t="shared" si="40"/>
        <v>0</v>
      </c>
      <c r="O42" s="146">
        <f t="shared" si="40"/>
        <v>0</v>
      </c>
      <c r="P42" s="146">
        <f t="shared" si="40"/>
        <v>0</v>
      </c>
      <c r="Q42" s="146">
        <f t="shared" si="40"/>
        <v>0</v>
      </c>
      <c r="R42" s="146">
        <f t="shared" si="40"/>
        <v>0</v>
      </c>
      <c r="S42" s="146">
        <f t="shared" si="40"/>
        <v>0</v>
      </c>
    </row>
    <row r="43" spans="1:19" ht="12.75" x14ac:dyDescent="0.2">
      <c r="A43" s="143"/>
      <c r="B43" s="143"/>
      <c r="C43" s="143"/>
      <c r="D43" s="144"/>
      <c r="E43" s="143"/>
      <c r="F43" s="143"/>
      <c r="G43" s="145"/>
      <c r="H43" s="146">
        <f t="shared" ref="H43:S43" si="41">G43</f>
        <v>0</v>
      </c>
      <c r="I43" s="146">
        <f t="shared" si="41"/>
        <v>0</v>
      </c>
      <c r="J43" s="146">
        <f t="shared" si="41"/>
        <v>0</v>
      </c>
      <c r="K43" s="146">
        <f t="shared" si="41"/>
        <v>0</v>
      </c>
      <c r="L43" s="146">
        <f t="shared" si="41"/>
        <v>0</v>
      </c>
      <c r="M43" s="146">
        <f t="shared" si="41"/>
        <v>0</v>
      </c>
      <c r="N43" s="146">
        <f t="shared" si="41"/>
        <v>0</v>
      </c>
      <c r="O43" s="146">
        <f t="shared" si="41"/>
        <v>0</v>
      </c>
      <c r="P43" s="146">
        <f t="shared" si="41"/>
        <v>0</v>
      </c>
      <c r="Q43" s="146">
        <f t="shared" si="41"/>
        <v>0</v>
      </c>
      <c r="R43" s="146">
        <f t="shared" si="41"/>
        <v>0</v>
      </c>
      <c r="S43" s="146">
        <f t="shared" si="41"/>
        <v>0</v>
      </c>
    </row>
    <row r="44" spans="1:19" ht="12.75" x14ac:dyDescent="0.2">
      <c r="A44" s="143"/>
      <c r="B44" s="143"/>
      <c r="C44" s="143"/>
      <c r="D44" s="144"/>
      <c r="E44" s="143"/>
      <c r="F44" s="143"/>
      <c r="G44" s="145"/>
      <c r="H44" s="146">
        <f t="shared" ref="H44:S44" si="42">G44</f>
        <v>0</v>
      </c>
      <c r="I44" s="146">
        <f t="shared" si="42"/>
        <v>0</v>
      </c>
      <c r="J44" s="146">
        <f t="shared" si="42"/>
        <v>0</v>
      </c>
      <c r="K44" s="146">
        <f t="shared" si="42"/>
        <v>0</v>
      </c>
      <c r="L44" s="146">
        <f t="shared" si="42"/>
        <v>0</v>
      </c>
      <c r="M44" s="146">
        <f t="shared" si="42"/>
        <v>0</v>
      </c>
      <c r="N44" s="146">
        <f t="shared" si="42"/>
        <v>0</v>
      </c>
      <c r="O44" s="146">
        <f t="shared" si="42"/>
        <v>0</v>
      </c>
      <c r="P44" s="146">
        <f t="shared" si="42"/>
        <v>0</v>
      </c>
      <c r="Q44" s="146">
        <f t="shared" si="42"/>
        <v>0</v>
      </c>
      <c r="R44" s="146">
        <f t="shared" si="42"/>
        <v>0</v>
      </c>
      <c r="S44" s="146">
        <f t="shared" si="42"/>
        <v>0</v>
      </c>
    </row>
    <row r="45" spans="1:19" ht="12.75" x14ac:dyDescent="0.2">
      <c r="A45" s="143"/>
      <c r="B45" s="143"/>
      <c r="C45" s="143"/>
      <c r="D45" s="144"/>
      <c r="E45" s="143"/>
      <c r="F45" s="143"/>
      <c r="G45" s="145"/>
      <c r="H45" s="146">
        <f t="shared" ref="H45:S45" si="43">G45</f>
        <v>0</v>
      </c>
      <c r="I45" s="146">
        <f t="shared" si="43"/>
        <v>0</v>
      </c>
      <c r="J45" s="146">
        <f t="shared" si="43"/>
        <v>0</v>
      </c>
      <c r="K45" s="146">
        <f t="shared" si="43"/>
        <v>0</v>
      </c>
      <c r="L45" s="146">
        <f t="shared" si="43"/>
        <v>0</v>
      </c>
      <c r="M45" s="146">
        <f t="shared" si="43"/>
        <v>0</v>
      </c>
      <c r="N45" s="146">
        <f t="shared" si="43"/>
        <v>0</v>
      </c>
      <c r="O45" s="146">
        <f t="shared" si="43"/>
        <v>0</v>
      </c>
      <c r="P45" s="146">
        <f t="shared" si="43"/>
        <v>0</v>
      </c>
      <c r="Q45" s="146">
        <f t="shared" si="43"/>
        <v>0</v>
      </c>
      <c r="R45" s="146">
        <f t="shared" si="43"/>
        <v>0</v>
      </c>
      <c r="S45" s="146">
        <f t="shared" si="43"/>
        <v>0</v>
      </c>
    </row>
    <row r="46" spans="1:19" ht="12.75" x14ac:dyDescent="0.2">
      <c r="A46" s="143"/>
      <c r="B46" s="143"/>
      <c r="C46" s="143"/>
      <c r="D46" s="144"/>
      <c r="E46" s="143"/>
      <c r="F46" s="143"/>
      <c r="G46" s="145"/>
      <c r="H46" s="146">
        <f t="shared" ref="H46:S46" si="44">G46</f>
        <v>0</v>
      </c>
      <c r="I46" s="146">
        <f t="shared" si="44"/>
        <v>0</v>
      </c>
      <c r="J46" s="146">
        <f t="shared" si="44"/>
        <v>0</v>
      </c>
      <c r="K46" s="146">
        <f t="shared" si="44"/>
        <v>0</v>
      </c>
      <c r="L46" s="146">
        <f t="shared" si="44"/>
        <v>0</v>
      </c>
      <c r="M46" s="146">
        <f t="shared" si="44"/>
        <v>0</v>
      </c>
      <c r="N46" s="146">
        <f t="shared" si="44"/>
        <v>0</v>
      </c>
      <c r="O46" s="146">
        <f t="shared" si="44"/>
        <v>0</v>
      </c>
      <c r="P46" s="146">
        <f t="shared" si="44"/>
        <v>0</v>
      </c>
      <c r="Q46" s="146">
        <f t="shared" si="44"/>
        <v>0</v>
      </c>
      <c r="R46" s="146">
        <f t="shared" si="44"/>
        <v>0</v>
      </c>
      <c r="S46" s="146">
        <f t="shared" si="44"/>
        <v>0</v>
      </c>
    </row>
    <row r="47" spans="1:19" ht="12.75" x14ac:dyDescent="0.2">
      <c r="A47" s="143"/>
      <c r="B47" s="143"/>
      <c r="C47" s="143"/>
      <c r="D47" s="144"/>
      <c r="E47" s="143"/>
      <c r="F47" s="143"/>
      <c r="G47" s="145"/>
      <c r="H47" s="146">
        <f t="shared" ref="H47:S47" si="45">G47</f>
        <v>0</v>
      </c>
      <c r="I47" s="146">
        <f t="shared" si="45"/>
        <v>0</v>
      </c>
      <c r="J47" s="146">
        <f t="shared" si="45"/>
        <v>0</v>
      </c>
      <c r="K47" s="146">
        <f t="shared" si="45"/>
        <v>0</v>
      </c>
      <c r="L47" s="146">
        <f t="shared" si="45"/>
        <v>0</v>
      </c>
      <c r="M47" s="146">
        <f t="shared" si="45"/>
        <v>0</v>
      </c>
      <c r="N47" s="146">
        <f t="shared" si="45"/>
        <v>0</v>
      </c>
      <c r="O47" s="146">
        <f t="shared" si="45"/>
        <v>0</v>
      </c>
      <c r="P47" s="146">
        <f t="shared" si="45"/>
        <v>0</v>
      </c>
      <c r="Q47" s="146">
        <f t="shared" si="45"/>
        <v>0</v>
      </c>
      <c r="R47" s="146">
        <f t="shared" si="45"/>
        <v>0</v>
      </c>
      <c r="S47" s="146">
        <f t="shared" si="45"/>
        <v>0</v>
      </c>
    </row>
    <row r="48" spans="1:19" ht="12.75" x14ac:dyDescent="0.2">
      <c r="A48" s="143"/>
      <c r="B48" s="143"/>
      <c r="C48" s="143"/>
      <c r="D48" s="144"/>
      <c r="E48" s="143"/>
      <c r="F48" s="143"/>
      <c r="G48" s="145"/>
      <c r="H48" s="146">
        <f t="shared" ref="H48:S48" si="46">G48</f>
        <v>0</v>
      </c>
      <c r="I48" s="146">
        <f t="shared" si="46"/>
        <v>0</v>
      </c>
      <c r="J48" s="146">
        <f t="shared" si="46"/>
        <v>0</v>
      </c>
      <c r="K48" s="146">
        <f t="shared" si="46"/>
        <v>0</v>
      </c>
      <c r="L48" s="146">
        <f t="shared" si="46"/>
        <v>0</v>
      </c>
      <c r="M48" s="146">
        <f t="shared" si="46"/>
        <v>0</v>
      </c>
      <c r="N48" s="146">
        <f t="shared" si="46"/>
        <v>0</v>
      </c>
      <c r="O48" s="146">
        <f t="shared" si="46"/>
        <v>0</v>
      </c>
      <c r="P48" s="146">
        <f t="shared" si="46"/>
        <v>0</v>
      </c>
      <c r="Q48" s="146">
        <f t="shared" si="46"/>
        <v>0</v>
      </c>
      <c r="R48" s="146">
        <f t="shared" si="46"/>
        <v>0</v>
      </c>
      <c r="S48" s="146">
        <f t="shared" si="46"/>
        <v>0</v>
      </c>
    </row>
    <row r="49" spans="1:19" ht="12.75" x14ac:dyDescent="0.2">
      <c r="A49" s="143"/>
      <c r="B49" s="143"/>
      <c r="C49" s="143"/>
      <c r="D49" s="144"/>
      <c r="E49" s="143"/>
      <c r="F49" s="143"/>
      <c r="G49" s="145"/>
      <c r="H49" s="146">
        <f t="shared" ref="H49:S49" si="47">G49</f>
        <v>0</v>
      </c>
      <c r="I49" s="146">
        <f t="shared" si="47"/>
        <v>0</v>
      </c>
      <c r="J49" s="146">
        <f t="shared" si="47"/>
        <v>0</v>
      </c>
      <c r="K49" s="146">
        <f t="shared" si="47"/>
        <v>0</v>
      </c>
      <c r="L49" s="146">
        <f t="shared" si="47"/>
        <v>0</v>
      </c>
      <c r="M49" s="146">
        <f t="shared" si="47"/>
        <v>0</v>
      </c>
      <c r="N49" s="146">
        <f t="shared" si="47"/>
        <v>0</v>
      </c>
      <c r="O49" s="146">
        <f t="shared" si="47"/>
        <v>0</v>
      </c>
      <c r="P49" s="146">
        <f t="shared" si="47"/>
        <v>0</v>
      </c>
      <c r="Q49" s="146">
        <f t="shared" si="47"/>
        <v>0</v>
      </c>
      <c r="R49" s="146">
        <f t="shared" si="47"/>
        <v>0</v>
      </c>
      <c r="S49" s="146">
        <f t="shared" si="47"/>
        <v>0</v>
      </c>
    </row>
    <row r="50" spans="1:19" ht="12.75" x14ac:dyDescent="0.2">
      <c r="A50" s="143"/>
      <c r="B50" s="143"/>
      <c r="C50" s="143"/>
      <c r="D50" s="144"/>
      <c r="E50" s="143"/>
      <c r="F50" s="143"/>
      <c r="G50" s="145"/>
      <c r="H50" s="146">
        <f t="shared" ref="H50:S50" si="48">G50</f>
        <v>0</v>
      </c>
      <c r="I50" s="146">
        <f t="shared" si="48"/>
        <v>0</v>
      </c>
      <c r="J50" s="146">
        <f t="shared" si="48"/>
        <v>0</v>
      </c>
      <c r="K50" s="146">
        <f t="shared" si="48"/>
        <v>0</v>
      </c>
      <c r="L50" s="146">
        <f t="shared" si="48"/>
        <v>0</v>
      </c>
      <c r="M50" s="146">
        <f t="shared" si="48"/>
        <v>0</v>
      </c>
      <c r="N50" s="146">
        <f t="shared" si="48"/>
        <v>0</v>
      </c>
      <c r="O50" s="146">
        <f t="shared" si="48"/>
        <v>0</v>
      </c>
      <c r="P50" s="146">
        <f t="shared" si="48"/>
        <v>0</v>
      </c>
      <c r="Q50" s="146">
        <f t="shared" si="48"/>
        <v>0</v>
      </c>
      <c r="R50" s="146">
        <f t="shared" si="48"/>
        <v>0</v>
      </c>
      <c r="S50" s="146">
        <f t="shared" si="48"/>
        <v>0</v>
      </c>
    </row>
    <row r="51" spans="1:19" ht="12.75" x14ac:dyDescent="0.2">
      <c r="A51" s="143"/>
      <c r="B51" s="143"/>
      <c r="C51" s="143"/>
      <c r="D51" s="144"/>
      <c r="E51" s="143"/>
      <c r="F51" s="143"/>
      <c r="G51" s="145"/>
      <c r="H51" s="146">
        <f t="shared" ref="H51:S51" si="49">G51</f>
        <v>0</v>
      </c>
      <c r="I51" s="146">
        <f t="shared" si="49"/>
        <v>0</v>
      </c>
      <c r="J51" s="146">
        <f t="shared" si="49"/>
        <v>0</v>
      </c>
      <c r="K51" s="146">
        <f t="shared" si="49"/>
        <v>0</v>
      </c>
      <c r="L51" s="146">
        <f t="shared" si="49"/>
        <v>0</v>
      </c>
      <c r="M51" s="146">
        <f t="shared" si="49"/>
        <v>0</v>
      </c>
      <c r="N51" s="146">
        <f t="shared" si="49"/>
        <v>0</v>
      </c>
      <c r="O51" s="146">
        <f t="shared" si="49"/>
        <v>0</v>
      </c>
      <c r="P51" s="146">
        <f t="shared" si="49"/>
        <v>0</v>
      </c>
      <c r="Q51" s="146">
        <f t="shared" si="49"/>
        <v>0</v>
      </c>
      <c r="R51" s="146">
        <f t="shared" si="49"/>
        <v>0</v>
      </c>
      <c r="S51" s="146">
        <f t="shared" si="49"/>
        <v>0</v>
      </c>
    </row>
    <row r="52" spans="1:19" ht="12.75" x14ac:dyDescent="0.2">
      <c r="A52" s="143"/>
      <c r="B52" s="143"/>
      <c r="C52" s="143"/>
      <c r="D52" s="144"/>
      <c r="E52" s="143"/>
      <c r="F52" s="143"/>
      <c r="G52" s="145"/>
      <c r="H52" s="146">
        <f t="shared" ref="H52:S52" si="50">G52</f>
        <v>0</v>
      </c>
      <c r="I52" s="146">
        <f t="shared" si="50"/>
        <v>0</v>
      </c>
      <c r="J52" s="146">
        <f t="shared" si="50"/>
        <v>0</v>
      </c>
      <c r="K52" s="146">
        <f t="shared" si="50"/>
        <v>0</v>
      </c>
      <c r="L52" s="146">
        <f t="shared" si="50"/>
        <v>0</v>
      </c>
      <c r="M52" s="146">
        <f t="shared" si="50"/>
        <v>0</v>
      </c>
      <c r="N52" s="146">
        <f t="shared" si="50"/>
        <v>0</v>
      </c>
      <c r="O52" s="146">
        <f t="shared" si="50"/>
        <v>0</v>
      </c>
      <c r="P52" s="146">
        <f t="shared" si="50"/>
        <v>0</v>
      </c>
      <c r="Q52" s="146">
        <f t="shared" si="50"/>
        <v>0</v>
      </c>
      <c r="R52" s="146">
        <f t="shared" si="50"/>
        <v>0</v>
      </c>
      <c r="S52" s="146">
        <f t="shared" si="50"/>
        <v>0</v>
      </c>
    </row>
    <row r="53" spans="1:19" ht="12.75" x14ac:dyDescent="0.2">
      <c r="A53" s="143"/>
      <c r="B53" s="143"/>
      <c r="C53" s="143"/>
      <c r="D53" s="144"/>
      <c r="E53" s="143"/>
      <c r="F53" s="143"/>
      <c r="G53" s="145"/>
      <c r="H53" s="146">
        <f t="shared" ref="H53:S53" si="51">G53</f>
        <v>0</v>
      </c>
      <c r="I53" s="146">
        <f t="shared" si="51"/>
        <v>0</v>
      </c>
      <c r="J53" s="146">
        <f t="shared" si="51"/>
        <v>0</v>
      </c>
      <c r="K53" s="146">
        <f t="shared" si="51"/>
        <v>0</v>
      </c>
      <c r="L53" s="146">
        <f t="shared" si="51"/>
        <v>0</v>
      </c>
      <c r="M53" s="146">
        <f t="shared" si="51"/>
        <v>0</v>
      </c>
      <c r="N53" s="146">
        <f t="shared" si="51"/>
        <v>0</v>
      </c>
      <c r="O53" s="146">
        <f t="shared" si="51"/>
        <v>0</v>
      </c>
      <c r="P53" s="146">
        <f t="shared" si="51"/>
        <v>0</v>
      </c>
      <c r="Q53" s="146">
        <f t="shared" si="51"/>
        <v>0</v>
      </c>
      <c r="R53" s="146">
        <f t="shared" si="51"/>
        <v>0</v>
      </c>
      <c r="S53" s="146">
        <f t="shared" si="51"/>
        <v>0</v>
      </c>
    </row>
    <row r="54" spans="1:19" ht="12.75" x14ac:dyDescent="0.2">
      <c r="A54" s="143"/>
      <c r="B54" s="143"/>
      <c r="C54" s="143"/>
      <c r="D54" s="144"/>
      <c r="E54" s="143"/>
      <c r="F54" s="143"/>
      <c r="G54" s="145"/>
      <c r="H54" s="146">
        <f t="shared" ref="H54:S54" si="52">G54</f>
        <v>0</v>
      </c>
      <c r="I54" s="146">
        <f t="shared" si="52"/>
        <v>0</v>
      </c>
      <c r="J54" s="146">
        <f t="shared" si="52"/>
        <v>0</v>
      </c>
      <c r="K54" s="146">
        <f t="shared" si="52"/>
        <v>0</v>
      </c>
      <c r="L54" s="146">
        <f t="shared" si="52"/>
        <v>0</v>
      </c>
      <c r="M54" s="146">
        <f t="shared" si="52"/>
        <v>0</v>
      </c>
      <c r="N54" s="146">
        <f t="shared" si="52"/>
        <v>0</v>
      </c>
      <c r="O54" s="146">
        <f t="shared" si="52"/>
        <v>0</v>
      </c>
      <c r="P54" s="146">
        <f t="shared" si="52"/>
        <v>0</v>
      </c>
      <c r="Q54" s="146">
        <f t="shared" si="52"/>
        <v>0</v>
      </c>
      <c r="R54" s="146">
        <f t="shared" si="52"/>
        <v>0</v>
      </c>
      <c r="S54" s="146">
        <f t="shared" si="52"/>
        <v>0</v>
      </c>
    </row>
    <row r="55" spans="1:19" ht="12.75" x14ac:dyDescent="0.2">
      <c r="A55" s="143"/>
      <c r="B55" s="143"/>
      <c r="C55" s="143"/>
      <c r="D55" s="144"/>
      <c r="E55" s="143"/>
      <c r="F55" s="143"/>
      <c r="G55" s="145"/>
      <c r="H55" s="146">
        <f t="shared" ref="H55:S55" si="53">G55</f>
        <v>0</v>
      </c>
      <c r="I55" s="146">
        <f t="shared" si="53"/>
        <v>0</v>
      </c>
      <c r="J55" s="146">
        <f t="shared" si="53"/>
        <v>0</v>
      </c>
      <c r="K55" s="146">
        <f t="shared" si="53"/>
        <v>0</v>
      </c>
      <c r="L55" s="146">
        <f t="shared" si="53"/>
        <v>0</v>
      </c>
      <c r="M55" s="146">
        <f t="shared" si="53"/>
        <v>0</v>
      </c>
      <c r="N55" s="146">
        <f t="shared" si="53"/>
        <v>0</v>
      </c>
      <c r="O55" s="146">
        <f t="shared" si="53"/>
        <v>0</v>
      </c>
      <c r="P55" s="146">
        <f t="shared" si="53"/>
        <v>0</v>
      </c>
      <c r="Q55" s="146">
        <f t="shared" si="53"/>
        <v>0</v>
      </c>
      <c r="R55" s="146">
        <f t="shared" si="53"/>
        <v>0</v>
      </c>
      <c r="S55" s="146">
        <f t="shared" si="53"/>
        <v>0</v>
      </c>
    </row>
    <row r="56" spans="1:19" ht="12.75" x14ac:dyDescent="0.2">
      <c r="A56" s="143"/>
      <c r="B56" s="143"/>
      <c r="C56" s="143"/>
      <c r="D56" s="144"/>
      <c r="E56" s="143"/>
      <c r="F56" s="143"/>
      <c r="G56" s="145"/>
      <c r="H56" s="146">
        <f t="shared" ref="H56:S56" si="54">G56</f>
        <v>0</v>
      </c>
      <c r="I56" s="146">
        <f t="shared" si="54"/>
        <v>0</v>
      </c>
      <c r="J56" s="146">
        <f t="shared" si="54"/>
        <v>0</v>
      </c>
      <c r="K56" s="146">
        <f t="shared" si="54"/>
        <v>0</v>
      </c>
      <c r="L56" s="146">
        <f t="shared" si="54"/>
        <v>0</v>
      </c>
      <c r="M56" s="146">
        <f t="shared" si="54"/>
        <v>0</v>
      </c>
      <c r="N56" s="146">
        <f t="shared" si="54"/>
        <v>0</v>
      </c>
      <c r="O56" s="146">
        <f t="shared" si="54"/>
        <v>0</v>
      </c>
      <c r="P56" s="146">
        <f t="shared" si="54"/>
        <v>0</v>
      </c>
      <c r="Q56" s="146">
        <f t="shared" si="54"/>
        <v>0</v>
      </c>
      <c r="R56" s="146">
        <f t="shared" si="54"/>
        <v>0</v>
      </c>
      <c r="S56" s="146">
        <f t="shared" si="54"/>
        <v>0</v>
      </c>
    </row>
    <row r="57" spans="1:19" ht="12.75" x14ac:dyDescent="0.2">
      <c r="A57" s="143"/>
      <c r="B57" s="143"/>
      <c r="C57" s="143"/>
      <c r="D57" s="144"/>
      <c r="E57" s="143"/>
      <c r="F57" s="143"/>
      <c r="G57" s="145"/>
      <c r="H57" s="146">
        <f t="shared" ref="H57:S57" si="55">G57</f>
        <v>0</v>
      </c>
      <c r="I57" s="146">
        <f t="shared" si="55"/>
        <v>0</v>
      </c>
      <c r="J57" s="146">
        <f t="shared" si="55"/>
        <v>0</v>
      </c>
      <c r="K57" s="146">
        <f t="shared" si="55"/>
        <v>0</v>
      </c>
      <c r="L57" s="146">
        <f t="shared" si="55"/>
        <v>0</v>
      </c>
      <c r="M57" s="146">
        <f t="shared" si="55"/>
        <v>0</v>
      </c>
      <c r="N57" s="146">
        <f t="shared" si="55"/>
        <v>0</v>
      </c>
      <c r="O57" s="146">
        <f t="shared" si="55"/>
        <v>0</v>
      </c>
      <c r="P57" s="146">
        <f t="shared" si="55"/>
        <v>0</v>
      </c>
      <c r="Q57" s="146">
        <f t="shared" si="55"/>
        <v>0</v>
      </c>
      <c r="R57" s="146">
        <f t="shared" si="55"/>
        <v>0</v>
      </c>
      <c r="S57" s="146">
        <f t="shared" si="55"/>
        <v>0</v>
      </c>
    </row>
    <row r="58" spans="1:19" ht="12.75" x14ac:dyDescent="0.2">
      <c r="A58" s="143"/>
      <c r="B58" s="143"/>
      <c r="C58" s="143"/>
      <c r="D58" s="144"/>
      <c r="E58" s="143"/>
      <c r="F58" s="143"/>
      <c r="G58" s="145"/>
      <c r="H58" s="146">
        <f t="shared" ref="H58:S58" si="56">G58</f>
        <v>0</v>
      </c>
      <c r="I58" s="146">
        <f t="shared" si="56"/>
        <v>0</v>
      </c>
      <c r="J58" s="146">
        <f t="shared" si="56"/>
        <v>0</v>
      </c>
      <c r="K58" s="146">
        <f t="shared" si="56"/>
        <v>0</v>
      </c>
      <c r="L58" s="146">
        <f t="shared" si="56"/>
        <v>0</v>
      </c>
      <c r="M58" s="146">
        <f t="shared" si="56"/>
        <v>0</v>
      </c>
      <c r="N58" s="146">
        <f t="shared" si="56"/>
        <v>0</v>
      </c>
      <c r="O58" s="146">
        <f t="shared" si="56"/>
        <v>0</v>
      </c>
      <c r="P58" s="146">
        <f t="shared" si="56"/>
        <v>0</v>
      </c>
      <c r="Q58" s="146">
        <f t="shared" si="56"/>
        <v>0</v>
      </c>
      <c r="R58" s="146">
        <f t="shared" si="56"/>
        <v>0</v>
      </c>
      <c r="S58" s="146">
        <f t="shared" si="56"/>
        <v>0</v>
      </c>
    </row>
    <row r="59" spans="1:19" ht="12.75" x14ac:dyDescent="0.2">
      <c r="A59" s="143"/>
      <c r="B59" s="143"/>
      <c r="C59" s="143"/>
      <c r="D59" s="144"/>
      <c r="E59" s="143"/>
      <c r="F59" s="143"/>
      <c r="G59" s="145"/>
      <c r="H59" s="146">
        <f t="shared" ref="H59:S59" si="57">G59</f>
        <v>0</v>
      </c>
      <c r="I59" s="146">
        <f t="shared" si="57"/>
        <v>0</v>
      </c>
      <c r="J59" s="146">
        <f t="shared" si="57"/>
        <v>0</v>
      </c>
      <c r="K59" s="146">
        <f t="shared" si="57"/>
        <v>0</v>
      </c>
      <c r="L59" s="146">
        <f t="shared" si="57"/>
        <v>0</v>
      </c>
      <c r="M59" s="146">
        <f t="shared" si="57"/>
        <v>0</v>
      </c>
      <c r="N59" s="146">
        <f t="shared" si="57"/>
        <v>0</v>
      </c>
      <c r="O59" s="146">
        <f t="shared" si="57"/>
        <v>0</v>
      </c>
      <c r="P59" s="146">
        <f t="shared" si="57"/>
        <v>0</v>
      </c>
      <c r="Q59" s="146">
        <f t="shared" si="57"/>
        <v>0</v>
      </c>
      <c r="R59" s="146">
        <f t="shared" si="57"/>
        <v>0</v>
      </c>
      <c r="S59" s="146">
        <f t="shared" si="57"/>
        <v>0</v>
      </c>
    </row>
    <row r="60" spans="1:19" ht="12.75" x14ac:dyDescent="0.2">
      <c r="A60" s="143"/>
      <c r="B60" s="143"/>
      <c r="C60" s="143"/>
      <c r="D60" s="144"/>
      <c r="E60" s="143"/>
      <c r="F60" s="143"/>
      <c r="G60" s="145"/>
      <c r="H60" s="146">
        <f t="shared" ref="H60:S60" si="58">G60</f>
        <v>0</v>
      </c>
      <c r="I60" s="146">
        <f t="shared" si="58"/>
        <v>0</v>
      </c>
      <c r="J60" s="146">
        <f t="shared" si="58"/>
        <v>0</v>
      </c>
      <c r="K60" s="146">
        <f t="shared" si="58"/>
        <v>0</v>
      </c>
      <c r="L60" s="146">
        <f t="shared" si="58"/>
        <v>0</v>
      </c>
      <c r="M60" s="146">
        <f t="shared" si="58"/>
        <v>0</v>
      </c>
      <c r="N60" s="146">
        <f t="shared" si="58"/>
        <v>0</v>
      </c>
      <c r="O60" s="146">
        <f t="shared" si="58"/>
        <v>0</v>
      </c>
      <c r="P60" s="146">
        <f t="shared" si="58"/>
        <v>0</v>
      </c>
      <c r="Q60" s="146">
        <f t="shared" si="58"/>
        <v>0</v>
      </c>
      <c r="R60" s="146">
        <f t="shared" si="58"/>
        <v>0</v>
      </c>
      <c r="S60" s="146">
        <f t="shared" si="58"/>
        <v>0</v>
      </c>
    </row>
    <row r="61" spans="1:19" ht="12.75" x14ac:dyDescent="0.2">
      <c r="A61" s="143"/>
      <c r="B61" s="143"/>
      <c r="C61" s="143"/>
      <c r="D61" s="144"/>
      <c r="E61" s="143"/>
      <c r="F61" s="143"/>
      <c r="G61" s="145"/>
      <c r="H61" s="146">
        <f t="shared" ref="H61:S61" si="59">G61</f>
        <v>0</v>
      </c>
      <c r="I61" s="146">
        <f t="shared" si="59"/>
        <v>0</v>
      </c>
      <c r="J61" s="146">
        <f t="shared" si="59"/>
        <v>0</v>
      </c>
      <c r="K61" s="146">
        <f t="shared" si="59"/>
        <v>0</v>
      </c>
      <c r="L61" s="146">
        <f t="shared" si="59"/>
        <v>0</v>
      </c>
      <c r="M61" s="146">
        <f t="shared" si="59"/>
        <v>0</v>
      </c>
      <c r="N61" s="146">
        <f t="shared" si="59"/>
        <v>0</v>
      </c>
      <c r="O61" s="146">
        <f t="shared" si="59"/>
        <v>0</v>
      </c>
      <c r="P61" s="146">
        <f t="shared" si="59"/>
        <v>0</v>
      </c>
      <c r="Q61" s="146">
        <f t="shared" si="59"/>
        <v>0</v>
      </c>
      <c r="R61" s="146">
        <f t="shared" si="59"/>
        <v>0</v>
      </c>
      <c r="S61" s="146">
        <f t="shared" si="59"/>
        <v>0</v>
      </c>
    </row>
    <row r="62" spans="1:19" ht="12.75" x14ac:dyDescent="0.2">
      <c r="A62" s="143"/>
      <c r="B62" s="143"/>
      <c r="C62" s="143"/>
      <c r="D62" s="144"/>
      <c r="E62" s="143"/>
      <c r="F62" s="143"/>
      <c r="G62" s="145"/>
      <c r="H62" s="146">
        <f t="shared" ref="H62:S62" si="60">G62</f>
        <v>0</v>
      </c>
      <c r="I62" s="146">
        <f t="shared" si="60"/>
        <v>0</v>
      </c>
      <c r="J62" s="146">
        <f t="shared" si="60"/>
        <v>0</v>
      </c>
      <c r="K62" s="146">
        <f t="shared" si="60"/>
        <v>0</v>
      </c>
      <c r="L62" s="146">
        <f t="shared" si="60"/>
        <v>0</v>
      </c>
      <c r="M62" s="146">
        <f t="shared" si="60"/>
        <v>0</v>
      </c>
      <c r="N62" s="146">
        <f t="shared" si="60"/>
        <v>0</v>
      </c>
      <c r="O62" s="146">
        <f t="shared" si="60"/>
        <v>0</v>
      </c>
      <c r="P62" s="146">
        <f t="shared" si="60"/>
        <v>0</v>
      </c>
      <c r="Q62" s="146">
        <f t="shared" si="60"/>
        <v>0</v>
      </c>
      <c r="R62" s="146">
        <f t="shared" si="60"/>
        <v>0</v>
      </c>
      <c r="S62" s="146">
        <f t="shared" si="60"/>
        <v>0</v>
      </c>
    </row>
    <row r="63" spans="1:19" ht="12.75" x14ac:dyDescent="0.2">
      <c r="A63" s="143"/>
      <c r="B63" s="143"/>
      <c r="C63" s="143"/>
      <c r="D63" s="144"/>
      <c r="E63" s="143"/>
      <c r="F63" s="143"/>
      <c r="G63" s="145"/>
      <c r="H63" s="146">
        <f t="shared" ref="H63:S63" si="61">G63</f>
        <v>0</v>
      </c>
      <c r="I63" s="146">
        <f t="shared" si="61"/>
        <v>0</v>
      </c>
      <c r="J63" s="146">
        <f t="shared" si="61"/>
        <v>0</v>
      </c>
      <c r="K63" s="146">
        <f t="shared" si="61"/>
        <v>0</v>
      </c>
      <c r="L63" s="146">
        <f t="shared" si="61"/>
        <v>0</v>
      </c>
      <c r="M63" s="146">
        <f t="shared" si="61"/>
        <v>0</v>
      </c>
      <c r="N63" s="146">
        <f t="shared" si="61"/>
        <v>0</v>
      </c>
      <c r="O63" s="146">
        <f t="shared" si="61"/>
        <v>0</v>
      </c>
      <c r="P63" s="146">
        <f t="shared" si="61"/>
        <v>0</v>
      </c>
      <c r="Q63" s="146">
        <f t="shared" si="61"/>
        <v>0</v>
      </c>
      <c r="R63" s="146">
        <f t="shared" si="61"/>
        <v>0</v>
      </c>
      <c r="S63" s="146">
        <f t="shared" si="61"/>
        <v>0</v>
      </c>
    </row>
    <row r="64" spans="1:19" ht="12.75" x14ac:dyDescent="0.2">
      <c r="A64" s="143"/>
      <c r="B64" s="143"/>
      <c r="C64" s="143"/>
      <c r="D64" s="144"/>
      <c r="E64" s="143"/>
      <c r="F64" s="143"/>
      <c r="G64" s="145"/>
      <c r="H64" s="146">
        <f t="shared" ref="H64:S64" si="62">G64</f>
        <v>0</v>
      </c>
      <c r="I64" s="146">
        <f t="shared" si="62"/>
        <v>0</v>
      </c>
      <c r="J64" s="146">
        <f t="shared" si="62"/>
        <v>0</v>
      </c>
      <c r="K64" s="146">
        <f t="shared" si="62"/>
        <v>0</v>
      </c>
      <c r="L64" s="146">
        <f t="shared" si="62"/>
        <v>0</v>
      </c>
      <c r="M64" s="146">
        <f t="shared" si="62"/>
        <v>0</v>
      </c>
      <c r="N64" s="146">
        <f t="shared" si="62"/>
        <v>0</v>
      </c>
      <c r="O64" s="146">
        <f t="shared" si="62"/>
        <v>0</v>
      </c>
      <c r="P64" s="146">
        <f t="shared" si="62"/>
        <v>0</v>
      </c>
      <c r="Q64" s="146">
        <f t="shared" si="62"/>
        <v>0</v>
      </c>
      <c r="R64" s="146">
        <f t="shared" si="62"/>
        <v>0</v>
      </c>
      <c r="S64" s="146">
        <f t="shared" si="62"/>
        <v>0</v>
      </c>
    </row>
    <row r="65" spans="1:19" ht="12.75" x14ac:dyDescent="0.2">
      <c r="A65" s="143"/>
      <c r="B65" s="143"/>
      <c r="C65" s="143"/>
      <c r="D65" s="144"/>
      <c r="E65" s="143"/>
      <c r="F65" s="143"/>
      <c r="G65" s="145"/>
      <c r="H65" s="146">
        <f t="shared" ref="H65:S65" si="63">G65</f>
        <v>0</v>
      </c>
      <c r="I65" s="146">
        <f t="shared" si="63"/>
        <v>0</v>
      </c>
      <c r="J65" s="146">
        <f t="shared" si="63"/>
        <v>0</v>
      </c>
      <c r="K65" s="146">
        <f t="shared" si="63"/>
        <v>0</v>
      </c>
      <c r="L65" s="146">
        <f t="shared" si="63"/>
        <v>0</v>
      </c>
      <c r="M65" s="146">
        <f t="shared" si="63"/>
        <v>0</v>
      </c>
      <c r="N65" s="146">
        <f t="shared" si="63"/>
        <v>0</v>
      </c>
      <c r="O65" s="146">
        <f t="shared" si="63"/>
        <v>0</v>
      </c>
      <c r="P65" s="146">
        <f t="shared" si="63"/>
        <v>0</v>
      </c>
      <c r="Q65" s="146">
        <f t="shared" si="63"/>
        <v>0</v>
      </c>
      <c r="R65" s="146">
        <f t="shared" si="63"/>
        <v>0</v>
      </c>
      <c r="S65" s="146">
        <f t="shared" si="63"/>
        <v>0</v>
      </c>
    </row>
    <row r="66" spans="1:19" ht="12.75" x14ac:dyDescent="0.2">
      <c r="A66" s="143"/>
      <c r="B66" s="143"/>
      <c r="C66" s="143"/>
      <c r="D66" s="144"/>
      <c r="E66" s="143"/>
      <c r="F66" s="143"/>
      <c r="G66" s="145"/>
      <c r="H66" s="146">
        <f t="shared" ref="H66:S66" si="64">G66</f>
        <v>0</v>
      </c>
      <c r="I66" s="146">
        <f t="shared" si="64"/>
        <v>0</v>
      </c>
      <c r="J66" s="146">
        <f t="shared" si="64"/>
        <v>0</v>
      </c>
      <c r="K66" s="146">
        <f t="shared" si="64"/>
        <v>0</v>
      </c>
      <c r="L66" s="146">
        <f t="shared" si="64"/>
        <v>0</v>
      </c>
      <c r="M66" s="146">
        <f t="shared" si="64"/>
        <v>0</v>
      </c>
      <c r="N66" s="146">
        <f t="shared" si="64"/>
        <v>0</v>
      </c>
      <c r="O66" s="146">
        <f t="shared" si="64"/>
        <v>0</v>
      </c>
      <c r="P66" s="146">
        <f t="shared" si="64"/>
        <v>0</v>
      </c>
      <c r="Q66" s="146">
        <f t="shared" si="64"/>
        <v>0</v>
      </c>
      <c r="R66" s="146">
        <f t="shared" si="64"/>
        <v>0</v>
      </c>
      <c r="S66" s="146">
        <f t="shared" si="64"/>
        <v>0</v>
      </c>
    </row>
    <row r="67" spans="1:19" ht="12.75" x14ac:dyDescent="0.2">
      <c r="A67" s="143"/>
      <c r="B67" s="143"/>
      <c r="C67" s="143"/>
      <c r="D67" s="144"/>
      <c r="E67" s="143"/>
      <c r="F67" s="143"/>
      <c r="G67" s="145"/>
      <c r="H67" s="146">
        <f t="shared" ref="H67:S67" si="65">G67</f>
        <v>0</v>
      </c>
      <c r="I67" s="146">
        <f t="shared" si="65"/>
        <v>0</v>
      </c>
      <c r="J67" s="146">
        <f t="shared" si="65"/>
        <v>0</v>
      </c>
      <c r="K67" s="146">
        <f t="shared" si="65"/>
        <v>0</v>
      </c>
      <c r="L67" s="146">
        <f t="shared" si="65"/>
        <v>0</v>
      </c>
      <c r="M67" s="146">
        <f t="shared" si="65"/>
        <v>0</v>
      </c>
      <c r="N67" s="146">
        <f t="shared" si="65"/>
        <v>0</v>
      </c>
      <c r="O67" s="146">
        <f t="shared" si="65"/>
        <v>0</v>
      </c>
      <c r="P67" s="146">
        <f t="shared" si="65"/>
        <v>0</v>
      </c>
      <c r="Q67" s="146">
        <f t="shared" si="65"/>
        <v>0</v>
      </c>
      <c r="R67" s="146">
        <f t="shared" si="65"/>
        <v>0</v>
      </c>
      <c r="S67" s="146">
        <f t="shared" si="65"/>
        <v>0</v>
      </c>
    </row>
    <row r="68" spans="1:19" ht="12.75" x14ac:dyDescent="0.2">
      <c r="A68" s="143"/>
      <c r="B68" s="143"/>
      <c r="C68" s="143"/>
      <c r="D68" s="144"/>
      <c r="E68" s="143"/>
      <c r="F68" s="143"/>
      <c r="G68" s="145"/>
      <c r="H68" s="146">
        <f t="shared" ref="H68:S68" si="66">G68</f>
        <v>0</v>
      </c>
      <c r="I68" s="146">
        <f t="shared" si="66"/>
        <v>0</v>
      </c>
      <c r="J68" s="146">
        <f t="shared" si="66"/>
        <v>0</v>
      </c>
      <c r="K68" s="146">
        <f t="shared" si="66"/>
        <v>0</v>
      </c>
      <c r="L68" s="146">
        <f t="shared" si="66"/>
        <v>0</v>
      </c>
      <c r="M68" s="146">
        <f t="shared" si="66"/>
        <v>0</v>
      </c>
      <c r="N68" s="146">
        <f t="shared" si="66"/>
        <v>0</v>
      </c>
      <c r="O68" s="146">
        <f t="shared" si="66"/>
        <v>0</v>
      </c>
      <c r="P68" s="146">
        <f t="shared" si="66"/>
        <v>0</v>
      </c>
      <c r="Q68" s="146">
        <f t="shared" si="66"/>
        <v>0</v>
      </c>
      <c r="R68" s="146">
        <f t="shared" si="66"/>
        <v>0</v>
      </c>
      <c r="S68" s="146">
        <f t="shared" si="66"/>
        <v>0</v>
      </c>
    </row>
    <row r="69" spans="1:19" ht="12.75" x14ac:dyDescent="0.2">
      <c r="A69" s="143"/>
      <c r="B69" s="143"/>
      <c r="C69" s="143"/>
      <c r="D69" s="144"/>
      <c r="E69" s="143"/>
      <c r="F69" s="143"/>
      <c r="G69" s="145"/>
      <c r="H69" s="146">
        <f t="shared" ref="H69:S69" si="67">G69</f>
        <v>0</v>
      </c>
      <c r="I69" s="146">
        <f t="shared" si="67"/>
        <v>0</v>
      </c>
      <c r="J69" s="146">
        <f t="shared" si="67"/>
        <v>0</v>
      </c>
      <c r="K69" s="146">
        <f t="shared" si="67"/>
        <v>0</v>
      </c>
      <c r="L69" s="146">
        <f t="shared" si="67"/>
        <v>0</v>
      </c>
      <c r="M69" s="146">
        <f t="shared" si="67"/>
        <v>0</v>
      </c>
      <c r="N69" s="146">
        <f t="shared" si="67"/>
        <v>0</v>
      </c>
      <c r="O69" s="146">
        <f t="shared" si="67"/>
        <v>0</v>
      </c>
      <c r="P69" s="146">
        <f t="shared" si="67"/>
        <v>0</v>
      </c>
      <c r="Q69" s="146">
        <f t="shared" si="67"/>
        <v>0</v>
      </c>
      <c r="R69" s="146">
        <f t="shared" si="67"/>
        <v>0</v>
      </c>
      <c r="S69" s="146">
        <f t="shared" si="67"/>
        <v>0</v>
      </c>
    </row>
    <row r="70" spans="1:19" ht="12.75" x14ac:dyDescent="0.2">
      <c r="A70" s="143"/>
      <c r="B70" s="143"/>
      <c r="C70" s="143"/>
      <c r="D70" s="144"/>
      <c r="E70" s="143"/>
      <c r="F70" s="143"/>
      <c r="G70" s="145"/>
      <c r="H70" s="146">
        <f t="shared" ref="H70:S70" si="68">G70</f>
        <v>0</v>
      </c>
      <c r="I70" s="146">
        <f t="shared" si="68"/>
        <v>0</v>
      </c>
      <c r="J70" s="146">
        <f t="shared" si="68"/>
        <v>0</v>
      </c>
      <c r="K70" s="146">
        <f t="shared" si="68"/>
        <v>0</v>
      </c>
      <c r="L70" s="146">
        <f t="shared" si="68"/>
        <v>0</v>
      </c>
      <c r="M70" s="146">
        <f t="shared" si="68"/>
        <v>0</v>
      </c>
      <c r="N70" s="146">
        <f t="shared" si="68"/>
        <v>0</v>
      </c>
      <c r="O70" s="146">
        <f t="shared" si="68"/>
        <v>0</v>
      </c>
      <c r="P70" s="146">
        <f t="shared" si="68"/>
        <v>0</v>
      </c>
      <c r="Q70" s="146">
        <f t="shared" si="68"/>
        <v>0</v>
      </c>
      <c r="R70" s="146">
        <f t="shared" si="68"/>
        <v>0</v>
      </c>
      <c r="S70" s="146">
        <f t="shared" si="68"/>
        <v>0</v>
      </c>
    </row>
    <row r="71" spans="1:19" ht="12.75" x14ac:dyDescent="0.2">
      <c r="A71" s="143"/>
      <c r="B71" s="143"/>
      <c r="C71" s="143"/>
      <c r="D71" s="144"/>
      <c r="E71" s="143"/>
      <c r="F71" s="143"/>
      <c r="G71" s="145"/>
      <c r="H71" s="146">
        <f t="shared" ref="H71:S71" si="69">G71</f>
        <v>0</v>
      </c>
      <c r="I71" s="146">
        <f t="shared" si="69"/>
        <v>0</v>
      </c>
      <c r="J71" s="146">
        <f t="shared" si="69"/>
        <v>0</v>
      </c>
      <c r="K71" s="146">
        <f t="shared" si="69"/>
        <v>0</v>
      </c>
      <c r="L71" s="146">
        <f t="shared" si="69"/>
        <v>0</v>
      </c>
      <c r="M71" s="146">
        <f t="shared" si="69"/>
        <v>0</v>
      </c>
      <c r="N71" s="146">
        <f t="shared" si="69"/>
        <v>0</v>
      </c>
      <c r="O71" s="146">
        <f t="shared" si="69"/>
        <v>0</v>
      </c>
      <c r="P71" s="146">
        <f t="shared" si="69"/>
        <v>0</v>
      </c>
      <c r="Q71" s="146">
        <f t="shared" si="69"/>
        <v>0</v>
      </c>
      <c r="R71" s="146">
        <f t="shared" si="69"/>
        <v>0</v>
      </c>
      <c r="S71" s="146">
        <f t="shared" si="69"/>
        <v>0</v>
      </c>
    </row>
    <row r="72" spans="1:19" ht="12.75" x14ac:dyDescent="0.2">
      <c r="A72" s="143"/>
      <c r="B72" s="143"/>
      <c r="C72" s="143"/>
      <c r="D72" s="144"/>
      <c r="E72" s="143"/>
      <c r="F72" s="143"/>
      <c r="G72" s="145"/>
      <c r="H72" s="146">
        <f t="shared" ref="H72:S72" si="70">G72</f>
        <v>0</v>
      </c>
      <c r="I72" s="146">
        <f t="shared" si="70"/>
        <v>0</v>
      </c>
      <c r="J72" s="146">
        <f t="shared" si="70"/>
        <v>0</v>
      </c>
      <c r="K72" s="146">
        <f t="shared" si="70"/>
        <v>0</v>
      </c>
      <c r="L72" s="146">
        <f t="shared" si="70"/>
        <v>0</v>
      </c>
      <c r="M72" s="146">
        <f t="shared" si="70"/>
        <v>0</v>
      </c>
      <c r="N72" s="146">
        <f t="shared" si="70"/>
        <v>0</v>
      </c>
      <c r="O72" s="146">
        <f t="shared" si="70"/>
        <v>0</v>
      </c>
      <c r="P72" s="146">
        <f t="shared" si="70"/>
        <v>0</v>
      </c>
      <c r="Q72" s="146">
        <f t="shared" si="70"/>
        <v>0</v>
      </c>
      <c r="R72" s="146">
        <f t="shared" si="70"/>
        <v>0</v>
      </c>
      <c r="S72" s="146">
        <f t="shared" si="70"/>
        <v>0</v>
      </c>
    </row>
    <row r="73" spans="1:19" ht="12.75" x14ac:dyDescent="0.2">
      <c r="A73" s="143"/>
      <c r="B73" s="143"/>
      <c r="C73" s="143"/>
      <c r="D73" s="144"/>
      <c r="E73" s="143"/>
      <c r="F73" s="143"/>
      <c r="G73" s="145"/>
      <c r="H73" s="146">
        <f t="shared" ref="H73:S73" si="71">G73</f>
        <v>0</v>
      </c>
      <c r="I73" s="146">
        <f t="shared" si="71"/>
        <v>0</v>
      </c>
      <c r="J73" s="146">
        <f t="shared" si="71"/>
        <v>0</v>
      </c>
      <c r="K73" s="146">
        <f t="shared" si="71"/>
        <v>0</v>
      </c>
      <c r="L73" s="146">
        <f t="shared" si="71"/>
        <v>0</v>
      </c>
      <c r="M73" s="146">
        <f t="shared" si="71"/>
        <v>0</v>
      </c>
      <c r="N73" s="146">
        <f t="shared" si="71"/>
        <v>0</v>
      </c>
      <c r="O73" s="146">
        <f t="shared" si="71"/>
        <v>0</v>
      </c>
      <c r="P73" s="146">
        <f t="shared" si="71"/>
        <v>0</v>
      </c>
      <c r="Q73" s="146">
        <f t="shared" si="71"/>
        <v>0</v>
      </c>
      <c r="R73" s="146">
        <f t="shared" si="71"/>
        <v>0</v>
      </c>
      <c r="S73" s="146">
        <f t="shared" si="71"/>
        <v>0</v>
      </c>
    </row>
    <row r="74" spans="1:19" ht="12.75" x14ac:dyDescent="0.2">
      <c r="A74" s="143"/>
      <c r="B74" s="143"/>
      <c r="C74" s="143"/>
      <c r="D74" s="144"/>
      <c r="E74" s="143"/>
      <c r="F74" s="143"/>
      <c r="G74" s="145"/>
      <c r="H74" s="146">
        <f t="shared" ref="H74:S74" si="72">G74</f>
        <v>0</v>
      </c>
      <c r="I74" s="146">
        <f t="shared" si="72"/>
        <v>0</v>
      </c>
      <c r="J74" s="146">
        <f t="shared" si="72"/>
        <v>0</v>
      </c>
      <c r="K74" s="146">
        <f t="shared" si="72"/>
        <v>0</v>
      </c>
      <c r="L74" s="146">
        <f t="shared" si="72"/>
        <v>0</v>
      </c>
      <c r="M74" s="146">
        <f t="shared" si="72"/>
        <v>0</v>
      </c>
      <c r="N74" s="146">
        <f t="shared" si="72"/>
        <v>0</v>
      </c>
      <c r="O74" s="146">
        <f t="shared" si="72"/>
        <v>0</v>
      </c>
      <c r="P74" s="146">
        <f t="shared" si="72"/>
        <v>0</v>
      </c>
      <c r="Q74" s="146">
        <f t="shared" si="72"/>
        <v>0</v>
      </c>
      <c r="R74" s="146">
        <f t="shared" si="72"/>
        <v>0</v>
      </c>
      <c r="S74" s="146">
        <f t="shared" si="72"/>
        <v>0</v>
      </c>
    </row>
    <row r="75" spans="1:19" ht="12.75" x14ac:dyDescent="0.2">
      <c r="A75" s="143"/>
      <c r="B75" s="143"/>
      <c r="C75" s="143"/>
      <c r="D75" s="144"/>
      <c r="E75" s="143"/>
      <c r="F75" s="143"/>
      <c r="G75" s="145"/>
      <c r="H75" s="146">
        <f t="shared" ref="H75:S75" si="73">G75</f>
        <v>0</v>
      </c>
      <c r="I75" s="146">
        <f t="shared" si="73"/>
        <v>0</v>
      </c>
      <c r="J75" s="146">
        <f t="shared" si="73"/>
        <v>0</v>
      </c>
      <c r="K75" s="146">
        <f t="shared" si="73"/>
        <v>0</v>
      </c>
      <c r="L75" s="146">
        <f t="shared" si="73"/>
        <v>0</v>
      </c>
      <c r="M75" s="146">
        <f t="shared" si="73"/>
        <v>0</v>
      </c>
      <c r="N75" s="146">
        <f t="shared" si="73"/>
        <v>0</v>
      </c>
      <c r="O75" s="146">
        <f t="shared" si="73"/>
        <v>0</v>
      </c>
      <c r="P75" s="146">
        <f t="shared" si="73"/>
        <v>0</v>
      </c>
      <c r="Q75" s="146">
        <f t="shared" si="73"/>
        <v>0</v>
      </c>
      <c r="R75" s="146">
        <f t="shared" si="73"/>
        <v>0</v>
      </c>
      <c r="S75" s="146">
        <f t="shared" si="73"/>
        <v>0</v>
      </c>
    </row>
    <row r="76" spans="1:19" ht="12.75" x14ac:dyDescent="0.2">
      <c r="A76" s="143"/>
      <c r="B76" s="143"/>
      <c r="C76" s="143"/>
      <c r="D76" s="144"/>
      <c r="E76" s="143"/>
      <c r="F76" s="143"/>
      <c r="G76" s="145"/>
      <c r="H76" s="146">
        <f t="shared" ref="H76:S76" si="74">G76</f>
        <v>0</v>
      </c>
      <c r="I76" s="146">
        <f t="shared" si="74"/>
        <v>0</v>
      </c>
      <c r="J76" s="146">
        <f t="shared" si="74"/>
        <v>0</v>
      </c>
      <c r="K76" s="146">
        <f t="shared" si="74"/>
        <v>0</v>
      </c>
      <c r="L76" s="146">
        <f t="shared" si="74"/>
        <v>0</v>
      </c>
      <c r="M76" s="146">
        <f t="shared" si="74"/>
        <v>0</v>
      </c>
      <c r="N76" s="146">
        <f t="shared" si="74"/>
        <v>0</v>
      </c>
      <c r="O76" s="146">
        <f t="shared" si="74"/>
        <v>0</v>
      </c>
      <c r="P76" s="146">
        <f t="shared" si="74"/>
        <v>0</v>
      </c>
      <c r="Q76" s="146">
        <f t="shared" si="74"/>
        <v>0</v>
      </c>
      <c r="R76" s="146">
        <f t="shared" si="74"/>
        <v>0</v>
      </c>
      <c r="S76" s="146">
        <f t="shared" si="74"/>
        <v>0</v>
      </c>
    </row>
    <row r="77" spans="1:19" ht="12.75" x14ac:dyDescent="0.2">
      <c r="A77" s="143"/>
      <c r="B77" s="143"/>
      <c r="C77" s="143"/>
      <c r="D77" s="144"/>
      <c r="E77" s="143"/>
      <c r="F77" s="143"/>
      <c r="G77" s="145"/>
      <c r="H77" s="146">
        <f t="shared" ref="H77:S77" si="75">G77</f>
        <v>0</v>
      </c>
      <c r="I77" s="146">
        <f t="shared" si="75"/>
        <v>0</v>
      </c>
      <c r="J77" s="146">
        <f t="shared" si="75"/>
        <v>0</v>
      </c>
      <c r="K77" s="146">
        <f t="shared" si="75"/>
        <v>0</v>
      </c>
      <c r="L77" s="146">
        <f t="shared" si="75"/>
        <v>0</v>
      </c>
      <c r="M77" s="146">
        <f t="shared" si="75"/>
        <v>0</v>
      </c>
      <c r="N77" s="146">
        <f t="shared" si="75"/>
        <v>0</v>
      </c>
      <c r="O77" s="146">
        <f t="shared" si="75"/>
        <v>0</v>
      </c>
      <c r="P77" s="146">
        <f t="shared" si="75"/>
        <v>0</v>
      </c>
      <c r="Q77" s="146">
        <f t="shared" si="75"/>
        <v>0</v>
      </c>
      <c r="R77" s="146">
        <f t="shared" si="75"/>
        <v>0</v>
      </c>
      <c r="S77" s="146">
        <f t="shared" si="75"/>
        <v>0</v>
      </c>
    </row>
    <row r="78" spans="1:19" ht="12.75" x14ac:dyDescent="0.2">
      <c r="A78" s="143"/>
      <c r="B78" s="143"/>
      <c r="C78" s="143"/>
      <c r="D78" s="144"/>
      <c r="E78" s="143"/>
      <c r="F78" s="143"/>
      <c r="G78" s="145"/>
      <c r="H78" s="146">
        <f t="shared" ref="H78:S78" si="76">G78</f>
        <v>0</v>
      </c>
      <c r="I78" s="146">
        <f t="shared" si="76"/>
        <v>0</v>
      </c>
      <c r="J78" s="146">
        <f t="shared" si="76"/>
        <v>0</v>
      </c>
      <c r="K78" s="146">
        <f t="shared" si="76"/>
        <v>0</v>
      </c>
      <c r="L78" s="146">
        <f t="shared" si="76"/>
        <v>0</v>
      </c>
      <c r="M78" s="146">
        <f t="shared" si="76"/>
        <v>0</v>
      </c>
      <c r="N78" s="146">
        <f t="shared" si="76"/>
        <v>0</v>
      </c>
      <c r="O78" s="146">
        <f t="shared" si="76"/>
        <v>0</v>
      </c>
      <c r="P78" s="146">
        <f t="shared" si="76"/>
        <v>0</v>
      </c>
      <c r="Q78" s="146">
        <f t="shared" si="76"/>
        <v>0</v>
      </c>
      <c r="R78" s="146">
        <f t="shared" si="76"/>
        <v>0</v>
      </c>
      <c r="S78" s="146">
        <f t="shared" si="76"/>
        <v>0</v>
      </c>
    </row>
    <row r="79" spans="1:19" ht="12.75" x14ac:dyDescent="0.2">
      <c r="A79" s="143"/>
      <c r="B79" s="143"/>
      <c r="C79" s="143"/>
      <c r="D79" s="144"/>
      <c r="E79" s="143"/>
      <c r="F79" s="143"/>
      <c r="G79" s="145"/>
      <c r="H79" s="146">
        <f t="shared" ref="H79:S79" si="77">G79</f>
        <v>0</v>
      </c>
      <c r="I79" s="146">
        <f t="shared" si="77"/>
        <v>0</v>
      </c>
      <c r="J79" s="146">
        <f t="shared" si="77"/>
        <v>0</v>
      </c>
      <c r="K79" s="146">
        <f t="shared" si="77"/>
        <v>0</v>
      </c>
      <c r="L79" s="146">
        <f t="shared" si="77"/>
        <v>0</v>
      </c>
      <c r="M79" s="146">
        <f t="shared" si="77"/>
        <v>0</v>
      </c>
      <c r="N79" s="146">
        <f t="shared" si="77"/>
        <v>0</v>
      </c>
      <c r="O79" s="146">
        <f t="shared" si="77"/>
        <v>0</v>
      </c>
      <c r="P79" s="146">
        <f t="shared" si="77"/>
        <v>0</v>
      </c>
      <c r="Q79" s="146">
        <f t="shared" si="77"/>
        <v>0</v>
      </c>
      <c r="R79" s="146">
        <f t="shared" si="77"/>
        <v>0</v>
      </c>
      <c r="S79" s="146">
        <f t="shared" si="77"/>
        <v>0</v>
      </c>
    </row>
    <row r="80" spans="1:19" ht="12.75" x14ac:dyDescent="0.2">
      <c r="A80" s="143"/>
      <c r="B80" s="143"/>
      <c r="C80" s="143"/>
      <c r="D80" s="144"/>
      <c r="E80" s="143"/>
      <c r="F80" s="143"/>
      <c r="G80" s="145"/>
      <c r="H80" s="146">
        <f t="shared" ref="H80:S80" si="78">G80</f>
        <v>0</v>
      </c>
      <c r="I80" s="146">
        <f t="shared" si="78"/>
        <v>0</v>
      </c>
      <c r="J80" s="146">
        <f t="shared" si="78"/>
        <v>0</v>
      </c>
      <c r="K80" s="146">
        <f t="shared" si="78"/>
        <v>0</v>
      </c>
      <c r="L80" s="146">
        <f t="shared" si="78"/>
        <v>0</v>
      </c>
      <c r="M80" s="146">
        <f t="shared" si="78"/>
        <v>0</v>
      </c>
      <c r="N80" s="146">
        <f t="shared" si="78"/>
        <v>0</v>
      </c>
      <c r="O80" s="146">
        <f t="shared" si="78"/>
        <v>0</v>
      </c>
      <c r="P80" s="146">
        <f t="shared" si="78"/>
        <v>0</v>
      </c>
      <c r="Q80" s="146">
        <f t="shared" si="78"/>
        <v>0</v>
      </c>
      <c r="R80" s="146">
        <f t="shared" si="78"/>
        <v>0</v>
      </c>
      <c r="S80" s="146">
        <f t="shared" si="78"/>
        <v>0</v>
      </c>
    </row>
    <row r="81" spans="1:19" ht="12.75" x14ac:dyDescent="0.2">
      <c r="A81" s="143"/>
      <c r="B81" s="143"/>
      <c r="C81" s="143"/>
      <c r="D81" s="144"/>
      <c r="E81" s="143"/>
      <c r="F81" s="143"/>
      <c r="G81" s="145"/>
      <c r="H81" s="146">
        <f t="shared" ref="H81:S81" si="79">G81</f>
        <v>0</v>
      </c>
      <c r="I81" s="146">
        <f t="shared" si="79"/>
        <v>0</v>
      </c>
      <c r="J81" s="146">
        <f t="shared" si="79"/>
        <v>0</v>
      </c>
      <c r="K81" s="146">
        <f t="shared" si="79"/>
        <v>0</v>
      </c>
      <c r="L81" s="146">
        <f t="shared" si="79"/>
        <v>0</v>
      </c>
      <c r="M81" s="146">
        <f t="shared" si="79"/>
        <v>0</v>
      </c>
      <c r="N81" s="146">
        <f t="shared" si="79"/>
        <v>0</v>
      </c>
      <c r="O81" s="146">
        <f t="shared" si="79"/>
        <v>0</v>
      </c>
      <c r="P81" s="146">
        <f t="shared" si="79"/>
        <v>0</v>
      </c>
      <c r="Q81" s="146">
        <f t="shared" si="79"/>
        <v>0</v>
      </c>
      <c r="R81" s="146">
        <f t="shared" si="79"/>
        <v>0</v>
      </c>
      <c r="S81" s="146">
        <f t="shared" si="79"/>
        <v>0</v>
      </c>
    </row>
    <row r="82" spans="1:19" ht="12.75" x14ac:dyDescent="0.2">
      <c r="A82" s="143"/>
      <c r="B82" s="143"/>
      <c r="C82" s="143"/>
      <c r="D82" s="144"/>
      <c r="E82" s="143"/>
      <c r="F82" s="143"/>
      <c r="G82" s="145"/>
      <c r="H82" s="146">
        <f t="shared" ref="H82:S82" si="80">G82</f>
        <v>0</v>
      </c>
      <c r="I82" s="146">
        <f t="shared" si="80"/>
        <v>0</v>
      </c>
      <c r="J82" s="146">
        <f t="shared" si="80"/>
        <v>0</v>
      </c>
      <c r="K82" s="146">
        <f t="shared" si="80"/>
        <v>0</v>
      </c>
      <c r="L82" s="146">
        <f t="shared" si="80"/>
        <v>0</v>
      </c>
      <c r="M82" s="146">
        <f t="shared" si="80"/>
        <v>0</v>
      </c>
      <c r="N82" s="146">
        <f t="shared" si="80"/>
        <v>0</v>
      </c>
      <c r="O82" s="146">
        <f t="shared" si="80"/>
        <v>0</v>
      </c>
      <c r="P82" s="146">
        <f t="shared" si="80"/>
        <v>0</v>
      </c>
      <c r="Q82" s="146">
        <f t="shared" si="80"/>
        <v>0</v>
      </c>
      <c r="R82" s="146">
        <f t="shared" si="80"/>
        <v>0</v>
      </c>
      <c r="S82" s="146">
        <f t="shared" si="80"/>
        <v>0</v>
      </c>
    </row>
    <row r="83" spans="1:19" ht="12.75" x14ac:dyDescent="0.2">
      <c r="A83" s="143"/>
      <c r="B83" s="143"/>
      <c r="C83" s="143"/>
      <c r="D83" s="144"/>
      <c r="E83" s="143"/>
      <c r="F83" s="143"/>
      <c r="G83" s="145"/>
      <c r="H83" s="146">
        <f t="shared" ref="H83:S83" si="81">G83</f>
        <v>0</v>
      </c>
      <c r="I83" s="146">
        <f t="shared" si="81"/>
        <v>0</v>
      </c>
      <c r="J83" s="146">
        <f t="shared" si="81"/>
        <v>0</v>
      </c>
      <c r="K83" s="146">
        <f t="shared" si="81"/>
        <v>0</v>
      </c>
      <c r="L83" s="146">
        <f t="shared" si="81"/>
        <v>0</v>
      </c>
      <c r="M83" s="146">
        <f t="shared" si="81"/>
        <v>0</v>
      </c>
      <c r="N83" s="146">
        <f t="shared" si="81"/>
        <v>0</v>
      </c>
      <c r="O83" s="146">
        <f t="shared" si="81"/>
        <v>0</v>
      </c>
      <c r="P83" s="146">
        <f t="shared" si="81"/>
        <v>0</v>
      </c>
      <c r="Q83" s="146">
        <f t="shared" si="81"/>
        <v>0</v>
      </c>
      <c r="R83" s="146">
        <f t="shared" si="81"/>
        <v>0</v>
      </c>
      <c r="S83" s="146">
        <f t="shared" si="81"/>
        <v>0</v>
      </c>
    </row>
    <row r="84" spans="1:19" ht="12.75" x14ac:dyDescent="0.2">
      <c r="A84" s="143"/>
      <c r="B84" s="143"/>
      <c r="C84" s="143"/>
      <c r="D84" s="144"/>
      <c r="E84" s="143"/>
      <c r="F84" s="143"/>
      <c r="G84" s="145"/>
      <c r="H84" s="146">
        <f t="shared" ref="H84:S84" si="82">G84</f>
        <v>0</v>
      </c>
      <c r="I84" s="146">
        <f t="shared" si="82"/>
        <v>0</v>
      </c>
      <c r="J84" s="146">
        <f t="shared" si="82"/>
        <v>0</v>
      </c>
      <c r="K84" s="146">
        <f t="shared" si="82"/>
        <v>0</v>
      </c>
      <c r="L84" s="146">
        <f t="shared" si="82"/>
        <v>0</v>
      </c>
      <c r="M84" s="146">
        <f t="shared" si="82"/>
        <v>0</v>
      </c>
      <c r="N84" s="146">
        <f t="shared" si="82"/>
        <v>0</v>
      </c>
      <c r="O84" s="146">
        <f t="shared" si="82"/>
        <v>0</v>
      </c>
      <c r="P84" s="146">
        <f t="shared" si="82"/>
        <v>0</v>
      </c>
      <c r="Q84" s="146">
        <f t="shared" si="82"/>
        <v>0</v>
      </c>
      <c r="R84" s="146">
        <f t="shared" si="82"/>
        <v>0</v>
      </c>
      <c r="S84" s="146">
        <f t="shared" si="82"/>
        <v>0</v>
      </c>
    </row>
    <row r="85" spans="1:19" ht="12.75" x14ac:dyDescent="0.2">
      <c r="A85" s="143"/>
      <c r="B85" s="143"/>
      <c r="C85" s="143"/>
      <c r="D85" s="144"/>
      <c r="E85" s="143"/>
      <c r="F85" s="143"/>
      <c r="G85" s="145"/>
      <c r="H85" s="146">
        <f t="shared" ref="H85:S85" si="83">G85</f>
        <v>0</v>
      </c>
      <c r="I85" s="146">
        <f t="shared" si="83"/>
        <v>0</v>
      </c>
      <c r="J85" s="146">
        <f t="shared" si="83"/>
        <v>0</v>
      </c>
      <c r="K85" s="146">
        <f t="shared" si="83"/>
        <v>0</v>
      </c>
      <c r="L85" s="146">
        <f t="shared" si="83"/>
        <v>0</v>
      </c>
      <c r="M85" s="146">
        <f t="shared" si="83"/>
        <v>0</v>
      </c>
      <c r="N85" s="146">
        <f t="shared" si="83"/>
        <v>0</v>
      </c>
      <c r="O85" s="146">
        <f t="shared" si="83"/>
        <v>0</v>
      </c>
      <c r="P85" s="146">
        <f t="shared" si="83"/>
        <v>0</v>
      </c>
      <c r="Q85" s="146">
        <f t="shared" si="83"/>
        <v>0</v>
      </c>
      <c r="R85" s="146">
        <f t="shared" si="83"/>
        <v>0</v>
      </c>
      <c r="S85" s="146">
        <f t="shared" si="83"/>
        <v>0</v>
      </c>
    </row>
    <row r="86" spans="1:19" ht="12.75" x14ac:dyDescent="0.2">
      <c r="A86" s="143"/>
      <c r="B86" s="143"/>
      <c r="C86" s="143"/>
      <c r="D86" s="144"/>
      <c r="E86" s="143"/>
      <c r="F86" s="143"/>
      <c r="G86" s="145"/>
      <c r="H86" s="146">
        <f t="shared" ref="H86:S86" si="84">G86</f>
        <v>0</v>
      </c>
      <c r="I86" s="146">
        <f t="shared" si="84"/>
        <v>0</v>
      </c>
      <c r="J86" s="146">
        <f t="shared" si="84"/>
        <v>0</v>
      </c>
      <c r="K86" s="146">
        <f t="shared" si="84"/>
        <v>0</v>
      </c>
      <c r="L86" s="146">
        <f t="shared" si="84"/>
        <v>0</v>
      </c>
      <c r="M86" s="146">
        <f t="shared" si="84"/>
        <v>0</v>
      </c>
      <c r="N86" s="146">
        <f t="shared" si="84"/>
        <v>0</v>
      </c>
      <c r="O86" s="146">
        <f t="shared" si="84"/>
        <v>0</v>
      </c>
      <c r="P86" s="146">
        <f t="shared" si="84"/>
        <v>0</v>
      </c>
      <c r="Q86" s="146">
        <f t="shared" si="84"/>
        <v>0</v>
      </c>
      <c r="R86" s="146">
        <f t="shared" si="84"/>
        <v>0</v>
      </c>
      <c r="S86" s="146">
        <f t="shared" si="84"/>
        <v>0</v>
      </c>
    </row>
    <row r="87" spans="1:19" ht="12.75" x14ac:dyDescent="0.2">
      <c r="A87" s="143"/>
      <c r="B87" s="143"/>
      <c r="C87" s="143"/>
      <c r="D87" s="144"/>
      <c r="E87" s="143"/>
      <c r="F87" s="143"/>
      <c r="G87" s="145"/>
      <c r="H87" s="146">
        <f t="shared" ref="H87:S87" si="85">G87</f>
        <v>0</v>
      </c>
      <c r="I87" s="146">
        <f t="shared" si="85"/>
        <v>0</v>
      </c>
      <c r="J87" s="146">
        <f t="shared" si="85"/>
        <v>0</v>
      </c>
      <c r="K87" s="146">
        <f t="shared" si="85"/>
        <v>0</v>
      </c>
      <c r="L87" s="146">
        <f t="shared" si="85"/>
        <v>0</v>
      </c>
      <c r="M87" s="146">
        <f t="shared" si="85"/>
        <v>0</v>
      </c>
      <c r="N87" s="146">
        <f t="shared" si="85"/>
        <v>0</v>
      </c>
      <c r="O87" s="146">
        <f t="shared" si="85"/>
        <v>0</v>
      </c>
      <c r="P87" s="146">
        <f t="shared" si="85"/>
        <v>0</v>
      </c>
      <c r="Q87" s="146">
        <f t="shared" si="85"/>
        <v>0</v>
      </c>
      <c r="R87" s="146">
        <f t="shared" si="85"/>
        <v>0</v>
      </c>
      <c r="S87" s="146">
        <f t="shared" si="85"/>
        <v>0</v>
      </c>
    </row>
    <row r="88" spans="1:19" ht="12.75" x14ac:dyDescent="0.2">
      <c r="A88" s="143"/>
      <c r="B88" s="143"/>
      <c r="C88" s="143"/>
      <c r="D88" s="144"/>
      <c r="E88" s="143"/>
      <c r="F88" s="143"/>
      <c r="G88" s="145"/>
      <c r="H88" s="146">
        <f t="shared" ref="H88:S88" si="86">G88</f>
        <v>0</v>
      </c>
      <c r="I88" s="146">
        <f t="shared" si="86"/>
        <v>0</v>
      </c>
      <c r="J88" s="146">
        <f t="shared" si="86"/>
        <v>0</v>
      </c>
      <c r="K88" s="146">
        <f t="shared" si="86"/>
        <v>0</v>
      </c>
      <c r="L88" s="146">
        <f t="shared" si="86"/>
        <v>0</v>
      </c>
      <c r="M88" s="146">
        <f t="shared" si="86"/>
        <v>0</v>
      </c>
      <c r="N88" s="146">
        <f t="shared" si="86"/>
        <v>0</v>
      </c>
      <c r="O88" s="146">
        <f t="shared" si="86"/>
        <v>0</v>
      </c>
      <c r="P88" s="146">
        <f t="shared" si="86"/>
        <v>0</v>
      </c>
      <c r="Q88" s="146">
        <f t="shared" si="86"/>
        <v>0</v>
      </c>
      <c r="R88" s="146">
        <f t="shared" si="86"/>
        <v>0</v>
      </c>
      <c r="S88" s="146">
        <f t="shared" si="86"/>
        <v>0</v>
      </c>
    </row>
    <row r="89" spans="1:19" ht="12.75" x14ac:dyDescent="0.2">
      <c r="A89" s="143"/>
      <c r="B89" s="143"/>
      <c r="C89" s="143"/>
      <c r="D89" s="144"/>
      <c r="E89" s="143"/>
      <c r="F89" s="143"/>
      <c r="G89" s="145"/>
      <c r="H89" s="146">
        <f t="shared" ref="H89:S89" si="87">G89</f>
        <v>0</v>
      </c>
      <c r="I89" s="146">
        <f t="shared" si="87"/>
        <v>0</v>
      </c>
      <c r="J89" s="146">
        <f t="shared" si="87"/>
        <v>0</v>
      </c>
      <c r="K89" s="146">
        <f t="shared" si="87"/>
        <v>0</v>
      </c>
      <c r="L89" s="146">
        <f t="shared" si="87"/>
        <v>0</v>
      </c>
      <c r="M89" s="146">
        <f t="shared" si="87"/>
        <v>0</v>
      </c>
      <c r="N89" s="146">
        <f t="shared" si="87"/>
        <v>0</v>
      </c>
      <c r="O89" s="146">
        <f t="shared" si="87"/>
        <v>0</v>
      </c>
      <c r="P89" s="146">
        <f t="shared" si="87"/>
        <v>0</v>
      </c>
      <c r="Q89" s="146">
        <f t="shared" si="87"/>
        <v>0</v>
      </c>
      <c r="R89" s="146">
        <f t="shared" si="87"/>
        <v>0</v>
      </c>
      <c r="S89" s="146">
        <f t="shared" si="87"/>
        <v>0</v>
      </c>
    </row>
    <row r="90" spans="1:19" ht="12.75" x14ac:dyDescent="0.2">
      <c r="A90" s="143"/>
      <c r="B90" s="143"/>
      <c r="C90" s="143"/>
      <c r="D90" s="144"/>
      <c r="E90" s="143"/>
      <c r="F90" s="143"/>
      <c r="G90" s="145"/>
      <c r="H90" s="146">
        <f t="shared" ref="H90:S90" si="88">G90</f>
        <v>0</v>
      </c>
      <c r="I90" s="146">
        <f t="shared" si="88"/>
        <v>0</v>
      </c>
      <c r="J90" s="146">
        <f t="shared" si="88"/>
        <v>0</v>
      </c>
      <c r="K90" s="146">
        <f t="shared" si="88"/>
        <v>0</v>
      </c>
      <c r="L90" s="146">
        <f t="shared" si="88"/>
        <v>0</v>
      </c>
      <c r="M90" s="146">
        <f t="shared" si="88"/>
        <v>0</v>
      </c>
      <c r="N90" s="146">
        <f t="shared" si="88"/>
        <v>0</v>
      </c>
      <c r="O90" s="146">
        <f t="shared" si="88"/>
        <v>0</v>
      </c>
      <c r="P90" s="146">
        <f t="shared" si="88"/>
        <v>0</v>
      </c>
      <c r="Q90" s="146">
        <f t="shared" si="88"/>
        <v>0</v>
      </c>
      <c r="R90" s="146">
        <f t="shared" si="88"/>
        <v>0</v>
      </c>
      <c r="S90" s="146">
        <f t="shared" si="88"/>
        <v>0</v>
      </c>
    </row>
    <row r="91" spans="1:19" ht="12.75" x14ac:dyDescent="0.2">
      <c r="A91" s="143"/>
      <c r="B91" s="143"/>
      <c r="C91" s="143"/>
      <c r="D91" s="144"/>
      <c r="E91" s="143"/>
      <c r="F91" s="143"/>
      <c r="G91" s="145"/>
      <c r="H91" s="146">
        <f t="shared" ref="H91:S91" si="89">G91</f>
        <v>0</v>
      </c>
      <c r="I91" s="146">
        <f t="shared" si="89"/>
        <v>0</v>
      </c>
      <c r="J91" s="146">
        <f t="shared" si="89"/>
        <v>0</v>
      </c>
      <c r="K91" s="146">
        <f t="shared" si="89"/>
        <v>0</v>
      </c>
      <c r="L91" s="146">
        <f t="shared" si="89"/>
        <v>0</v>
      </c>
      <c r="M91" s="146">
        <f t="shared" si="89"/>
        <v>0</v>
      </c>
      <c r="N91" s="146">
        <f t="shared" si="89"/>
        <v>0</v>
      </c>
      <c r="O91" s="146">
        <f t="shared" si="89"/>
        <v>0</v>
      </c>
      <c r="P91" s="146">
        <f t="shared" si="89"/>
        <v>0</v>
      </c>
      <c r="Q91" s="146">
        <f t="shared" si="89"/>
        <v>0</v>
      </c>
      <c r="R91" s="146">
        <f t="shared" si="89"/>
        <v>0</v>
      </c>
      <c r="S91" s="146">
        <f t="shared" si="89"/>
        <v>0</v>
      </c>
    </row>
    <row r="92" spans="1:19" ht="12.75" x14ac:dyDescent="0.2">
      <c r="A92" s="143"/>
      <c r="B92" s="143"/>
      <c r="C92" s="143"/>
      <c r="D92" s="144"/>
      <c r="E92" s="143"/>
      <c r="F92" s="143"/>
      <c r="G92" s="145"/>
      <c r="H92" s="146">
        <f t="shared" ref="H92:S92" si="90">G92</f>
        <v>0</v>
      </c>
      <c r="I92" s="146">
        <f t="shared" si="90"/>
        <v>0</v>
      </c>
      <c r="J92" s="146">
        <f t="shared" si="90"/>
        <v>0</v>
      </c>
      <c r="K92" s="146">
        <f t="shared" si="90"/>
        <v>0</v>
      </c>
      <c r="L92" s="146">
        <f t="shared" si="90"/>
        <v>0</v>
      </c>
      <c r="M92" s="146">
        <f t="shared" si="90"/>
        <v>0</v>
      </c>
      <c r="N92" s="146">
        <f t="shared" si="90"/>
        <v>0</v>
      </c>
      <c r="O92" s="146">
        <f t="shared" si="90"/>
        <v>0</v>
      </c>
      <c r="P92" s="146">
        <f t="shared" si="90"/>
        <v>0</v>
      </c>
      <c r="Q92" s="146">
        <f t="shared" si="90"/>
        <v>0</v>
      </c>
      <c r="R92" s="146">
        <f t="shared" si="90"/>
        <v>0</v>
      </c>
      <c r="S92" s="146">
        <f t="shared" si="90"/>
        <v>0</v>
      </c>
    </row>
    <row r="93" spans="1:19" ht="12.75" x14ac:dyDescent="0.2">
      <c r="A93" s="143"/>
      <c r="B93" s="143"/>
      <c r="C93" s="143"/>
      <c r="D93" s="144"/>
      <c r="E93" s="143"/>
      <c r="F93" s="143"/>
      <c r="G93" s="145"/>
      <c r="H93" s="146">
        <f t="shared" ref="H93:S93" si="91">G93</f>
        <v>0</v>
      </c>
      <c r="I93" s="146">
        <f t="shared" si="91"/>
        <v>0</v>
      </c>
      <c r="J93" s="146">
        <f t="shared" si="91"/>
        <v>0</v>
      </c>
      <c r="K93" s="146">
        <f t="shared" si="91"/>
        <v>0</v>
      </c>
      <c r="L93" s="146">
        <f t="shared" si="91"/>
        <v>0</v>
      </c>
      <c r="M93" s="146">
        <f t="shared" si="91"/>
        <v>0</v>
      </c>
      <c r="N93" s="146">
        <f t="shared" si="91"/>
        <v>0</v>
      </c>
      <c r="O93" s="146">
        <f t="shared" si="91"/>
        <v>0</v>
      </c>
      <c r="P93" s="146">
        <f t="shared" si="91"/>
        <v>0</v>
      </c>
      <c r="Q93" s="146">
        <f t="shared" si="91"/>
        <v>0</v>
      </c>
      <c r="R93" s="146">
        <f t="shared" si="91"/>
        <v>0</v>
      </c>
      <c r="S93" s="146">
        <f t="shared" si="91"/>
        <v>0</v>
      </c>
    </row>
    <row r="94" spans="1:19" ht="12.75" x14ac:dyDescent="0.2">
      <c r="A94" s="143"/>
      <c r="B94" s="143"/>
      <c r="C94" s="143"/>
      <c r="D94" s="144"/>
      <c r="E94" s="143"/>
      <c r="F94" s="143"/>
      <c r="G94" s="145"/>
      <c r="H94" s="146">
        <f t="shared" ref="H94:S94" si="92">G94</f>
        <v>0</v>
      </c>
      <c r="I94" s="146">
        <f t="shared" si="92"/>
        <v>0</v>
      </c>
      <c r="J94" s="146">
        <f t="shared" si="92"/>
        <v>0</v>
      </c>
      <c r="K94" s="146">
        <f t="shared" si="92"/>
        <v>0</v>
      </c>
      <c r="L94" s="146">
        <f t="shared" si="92"/>
        <v>0</v>
      </c>
      <c r="M94" s="146">
        <f t="shared" si="92"/>
        <v>0</v>
      </c>
      <c r="N94" s="146">
        <f t="shared" si="92"/>
        <v>0</v>
      </c>
      <c r="O94" s="146">
        <f t="shared" si="92"/>
        <v>0</v>
      </c>
      <c r="P94" s="146">
        <f t="shared" si="92"/>
        <v>0</v>
      </c>
      <c r="Q94" s="146">
        <f t="shared" si="92"/>
        <v>0</v>
      </c>
      <c r="R94" s="146">
        <f t="shared" si="92"/>
        <v>0</v>
      </c>
      <c r="S94" s="146">
        <f t="shared" si="92"/>
        <v>0</v>
      </c>
    </row>
    <row r="95" spans="1:19" ht="12.75" x14ac:dyDescent="0.2">
      <c r="A95" s="143"/>
      <c r="B95" s="143"/>
      <c r="C95" s="143"/>
      <c r="D95" s="144"/>
      <c r="E95" s="143"/>
      <c r="F95" s="143"/>
      <c r="G95" s="145"/>
      <c r="H95" s="146">
        <f t="shared" ref="H95:S95" si="93">G95</f>
        <v>0</v>
      </c>
      <c r="I95" s="146">
        <f t="shared" si="93"/>
        <v>0</v>
      </c>
      <c r="J95" s="146">
        <f t="shared" si="93"/>
        <v>0</v>
      </c>
      <c r="K95" s="146">
        <f t="shared" si="93"/>
        <v>0</v>
      </c>
      <c r="L95" s="146">
        <f t="shared" si="93"/>
        <v>0</v>
      </c>
      <c r="M95" s="146">
        <f t="shared" si="93"/>
        <v>0</v>
      </c>
      <c r="N95" s="146">
        <f t="shared" si="93"/>
        <v>0</v>
      </c>
      <c r="O95" s="146">
        <f t="shared" si="93"/>
        <v>0</v>
      </c>
      <c r="P95" s="146">
        <f t="shared" si="93"/>
        <v>0</v>
      </c>
      <c r="Q95" s="146">
        <f t="shared" si="93"/>
        <v>0</v>
      </c>
      <c r="R95" s="146">
        <f t="shared" si="93"/>
        <v>0</v>
      </c>
      <c r="S95" s="146">
        <f t="shared" si="93"/>
        <v>0</v>
      </c>
    </row>
    <row r="96" spans="1:19" ht="12.75" x14ac:dyDescent="0.2">
      <c r="A96" s="143"/>
      <c r="B96" s="143"/>
      <c r="C96" s="143"/>
      <c r="D96" s="144"/>
      <c r="E96" s="143"/>
      <c r="F96" s="143"/>
      <c r="G96" s="145"/>
      <c r="H96" s="146">
        <f t="shared" ref="H96:S96" si="94">G96</f>
        <v>0</v>
      </c>
      <c r="I96" s="146">
        <f t="shared" si="94"/>
        <v>0</v>
      </c>
      <c r="J96" s="146">
        <f t="shared" si="94"/>
        <v>0</v>
      </c>
      <c r="K96" s="146">
        <f t="shared" si="94"/>
        <v>0</v>
      </c>
      <c r="L96" s="146">
        <f t="shared" si="94"/>
        <v>0</v>
      </c>
      <c r="M96" s="146">
        <f t="shared" si="94"/>
        <v>0</v>
      </c>
      <c r="N96" s="146">
        <f t="shared" si="94"/>
        <v>0</v>
      </c>
      <c r="O96" s="146">
        <f t="shared" si="94"/>
        <v>0</v>
      </c>
      <c r="P96" s="146">
        <f t="shared" si="94"/>
        <v>0</v>
      </c>
      <c r="Q96" s="146">
        <f t="shared" si="94"/>
        <v>0</v>
      </c>
      <c r="R96" s="146">
        <f t="shared" si="94"/>
        <v>0</v>
      </c>
      <c r="S96" s="146">
        <f t="shared" si="94"/>
        <v>0</v>
      </c>
    </row>
    <row r="97" spans="1:19" ht="12.75" x14ac:dyDescent="0.2">
      <c r="A97" s="143"/>
      <c r="B97" s="143"/>
      <c r="C97" s="143"/>
      <c r="D97" s="144"/>
      <c r="E97" s="143"/>
      <c r="F97" s="143"/>
      <c r="G97" s="145"/>
      <c r="H97" s="146">
        <f t="shared" ref="H97:S97" si="95">G97</f>
        <v>0</v>
      </c>
      <c r="I97" s="146">
        <f t="shared" si="95"/>
        <v>0</v>
      </c>
      <c r="J97" s="146">
        <f t="shared" si="95"/>
        <v>0</v>
      </c>
      <c r="K97" s="146">
        <f t="shared" si="95"/>
        <v>0</v>
      </c>
      <c r="L97" s="146">
        <f t="shared" si="95"/>
        <v>0</v>
      </c>
      <c r="M97" s="146">
        <f t="shared" si="95"/>
        <v>0</v>
      </c>
      <c r="N97" s="146">
        <f t="shared" si="95"/>
        <v>0</v>
      </c>
      <c r="O97" s="146">
        <f t="shared" si="95"/>
        <v>0</v>
      </c>
      <c r="P97" s="146">
        <f t="shared" si="95"/>
        <v>0</v>
      </c>
      <c r="Q97" s="146">
        <f t="shared" si="95"/>
        <v>0</v>
      </c>
      <c r="R97" s="146">
        <f t="shared" si="95"/>
        <v>0</v>
      </c>
      <c r="S97" s="146">
        <f t="shared" si="95"/>
        <v>0</v>
      </c>
    </row>
    <row r="98" spans="1:19" ht="12.75" x14ac:dyDescent="0.2">
      <c r="A98" s="143"/>
      <c r="B98" s="143"/>
      <c r="C98" s="143"/>
      <c r="D98" s="144"/>
      <c r="E98" s="143"/>
      <c r="F98" s="143"/>
      <c r="G98" s="145"/>
      <c r="H98" s="146">
        <f t="shared" ref="H98:S98" si="96">G98</f>
        <v>0</v>
      </c>
      <c r="I98" s="146">
        <f t="shared" si="96"/>
        <v>0</v>
      </c>
      <c r="J98" s="146">
        <f t="shared" si="96"/>
        <v>0</v>
      </c>
      <c r="K98" s="146">
        <f t="shared" si="96"/>
        <v>0</v>
      </c>
      <c r="L98" s="146">
        <f t="shared" si="96"/>
        <v>0</v>
      </c>
      <c r="M98" s="146">
        <f t="shared" si="96"/>
        <v>0</v>
      </c>
      <c r="N98" s="146">
        <f t="shared" si="96"/>
        <v>0</v>
      </c>
      <c r="O98" s="146">
        <f t="shared" si="96"/>
        <v>0</v>
      </c>
      <c r="P98" s="146">
        <f t="shared" si="96"/>
        <v>0</v>
      </c>
      <c r="Q98" s="146">
        <f t="shared" si="96"/>
        <v>0</v>
      </c>
      <c r="R98" s="146">
        <f t="shared" si="96"/>
        <v>0</v>
      </c>
      <c r="S98" s="146">
        <f t="shared" si="96"/>
        <v>0</v>
      </c>
    </row>
    <row r="99" spans="1:19" ht="12.75" x14ac:dyDescent="0.2">
      <c r="A99" s="143"/>
      <c r="B99" s="143"/>
      <c r="C99" s="143"/>
      <c r="D99" s="144"/>
      <c r="E99" s="143"/>
      <c r="F99" s="143"/>
      <c r="G99" s="145"/>
      <c r="H99" s="146">
        <f t="shared" ref="H99:S99" si="97">G99</f>
        <v>0</v>
      </c>
      <c r="I99" s="146">
        <f t="shared" si="97"/>
        <v>0</v>
      </c>
      <c r="J99" s="146">
        <f t="shared" si="97"/>
        <v>0</v>
      </c>
      <c r="K99" s="146">
        <f t="shared" si="97"/>
        <v>0</v>
      </c>
      <c r="L99" s="146">
        <f t="shared" si="97"/>
        <v>0</v>
      </c>
      <c r="M99" s="146">
        <f t="shared" si="97"/>
        <v>0</v>
      </c>
      <c r="N99" s="146">
        <f t="shared" si="97"/>
        <v>0</v>
      </c>
      <c r="O99" s="146">
        <f t="shared" si="97"/>
        <v>0</v>
      </c>
      <c r="P99" s="146">
        <f t="shared" si="97"/>
        <v>0</v>
      </c>
      <c r="Q99" s="146">
        <f t="shared" si="97"/>
        <v>0</v>
      </c>
      <c r="R99" s="146">
        <f t="shared" si="97"/>
        <v>0</v>
      </c>
      <c r="S99" s="146">
        <f t="shared" si="97"/>
        <v>0</v>
      </c>
    </row>
    <row r="100" spans="1:19" ht="12.75" x14ac:dyDescent="0.2">
      <c r="A100" s="143"/>
      <c r="B100" s="143"/>
      <c r="C100" s="143"/>
      <c r="D100" s="144"/>
      <c r="E100" s="143"/>
      <c r="F100" s="143"/>
      <c r="G100" s="145"/>
      <c r="H100" s="146">
        <f t="shared" ref="H100:S100" si="98">G100</f>
        <v>0</v>
      </c>
      <c r="I100" s="146">
        <f t="shared" si="98"/>
        <v>0</v>
      </c>
      <c r="J100" s="146">
        <f t="shared" si="98"/>
        <v>0</v>
      </c>
      <c r="K100" s="146">
        <f t="shared" si="98"/>
        <v>0</v>
      </c>
      <c r="L100" s="146">
        <f t="shared" si="98"/>
        <v>0</v>
      </c>
      <c r="M100" s="146">
        <f t="shared" si="98"/>
        <v>0</v>
      </c>
      <c r="N100" s="146">
        <f t="shared" si="98"/>
        <v>0</v>
      </c>
      <c r="O100" s="146">
        <f t="shared" si="98"/>
        <v>0</v>
      </c>
      <c r="P100" s="146">
        <f t="shared" si="98"/>
        <v>0</v>
      </c>
      <c r="Q100" s="146">
        <f t="shared" si="98"/>
        <v>0</v>
      </c>
      <c r="R100" s="146">
        <f t="shared" si="98"/>
        <v>0</v>
      </c>
      <c r="S100" s="146">
        <f t="shared" si="98"/>
        <v>0</v>
      </c>
    </row>
    <row r="101" spans="1:19" ht="12.75" x14ac:dyDescent="0.2">
      <c r="A101" s="143"/>
      <c r="B101" s="143"/>
      <c r="C101" s="143"/>
      <c r="D101" s="144"/>
      <c r="E101" s="143"/>
      <c r="F101" s="143"/>
      <c r="G101" s="145"/>
      <c r="H101" s="146">
        <f t="shared" ref="H101:S101" si="99">G101</f>
        <v>0</v>
      </c>
      <c r="I101" s="146">
        <f t="shared" si="99"/>
        <v>0</v>
      </c>
      <c r="J101" s="146">
        <f t="shared" si="99"/>
        <v>0</v>
      </c>
      <c r="K101" s="146">
        <f t="shared" si="99"/>
        <v>0</v>
      </c>
      <c r="L101" s="146">
        <f t="shared" si="99"/>
        <v>0</v>
      </c>
      <c r="M101" s="146">
        <f t="shared" si="99"/>
        <v>0</v>
      </c>
      <c r="N101" s="146">
        <f t="shared" si="99"/>
        <v>0</v>
      </c>
      <c r="O101" s="146">
        <f t="shared" si="99"/>
        <v>0</v>
      </c>
      <c r="P101" s="146">
        <f t="shared" si="99"/>
        <v>0</v>
      </c>
      <c r="Q101" s="146">
        <f t="shared" si="99"/>
        <v>0</v>
      </c>
      <c r="R101" s="146">
        <f t="shared" si="99"/>
        <v>0</v>
      </c>
      <c r="S101" s="146">
        <f t="shared" si="99"/>
        <v>0</v>
      </c>
    </row>
    <row r="102" spans="1:19" ht="12.75" x14ac:dyDescent="0.2">
      <c r="A102" s="143"/>
      <c r="B102" s="143"/>
      <c r="C102" s="143"/>
      <c r="D102" s="144"/>
      <c r="E102" s="143"/>
      <c r="F102" s="143"/>
      <c r="G102" s="145"/>
      <c r="H102" s="146">
        <f t="shared" ref="H102:S102" si="100">G102</f>
        <v>0</v>
      </c>
      <c r="I102" s="146">
        <f t="shared" si="100"/>
        <v>0</v>
      </c>
      <c r="J102" s="146">
        <f t="shared" si="100"/>
        <v>0</v>
      </c>
      <c r="K102" s="146">
        <f t="shared" si="100"/>
        <v>0</v>
      </c>
      <c r="L102" s="146">
        <f t="shared" si="100"/>
        <v>0</v>
      </c>
      <c r="M102" s="146">
        <f t="shared" si="100"/>
        <v>0</v>
      </c>
      <c r="N102" s="146">
        <f t="shared" si="100"/>
        <v>0</v>
      </c>
      <c r="O102" s="146">
        <f t="shared" si="100"/>
        <v>0</v>
      </c>
      <c r="P102" s="146">
        <f t="shared" si="100"/>
        <v>0</v>
      </c>
      <c r="Q102" s="146">
        <f t="shared" si="100"/>
        <v>0</v>
      </c>
      <c r="R102" s="146">
        <f t="shared" si="100"/>
        <v>0</v>
      </c>
      <c r="S102" s="146">
        <f t="shared" si="100"/>
        <v>0</v>
      </c>
    </row>
    <row r="103" spans="1:19" ht="12.75" x14ac:dyDescent="0.2">
      <c r="A103" s="143"/>
      <c r="B103" s="143"/>
      <c r="C103" s="143"/>
      <c r="D103" s="144"/>
      <c r="E103" s="143"/>
      <c r="F103" s="143"/>
      <c r="G103" s="145"/>
      <c r="H103" s="146">
        <f t="shared" ref="H103:S103" si="101">G103</f>
        <v>0</v>
      </c>
      <c r="I103" s="146">
        <f t="shared" si="101"/>
        <v>0</v>
      </c>
      <c r="J103" s="146">
        <f t="shared" si="101"/>
        <v>0</v>
      </c>
      <c r="K103" s="146">
        <f t="shared" si="101"/>
        <v>0</v>
      </c>
      <c r="L103" s="146">
        <f t="shared" si="101"/>
        <v>0</v>
      </c>
      <c r="M103" s="146">
        <f t="shared" si="101"/>
        <v>0</v>
      </c>
      <c r="N103" s="146">
        <f t="shared" si="101"/>
        <v>0</v>
      </c>
      <c r="O103" s="146">
        <f t="shared" si="101"/>
        <v>0</v>
      </c>
      <c r="P103" s="146">
        <f t="shared" si="101"/>
        <v>0</v>
      </c>
      <c r="Q103" s="146">
        <f t="shared" si="101"/>
        <v>0</v>
      </c>
      <c r="R103" s="146">
        <f t="shared" si="101"/>
        <v>0</v>
      </c>
      <c r="S103" s="146">
        <f t="shared" si="101"/>
        <v>0</v>
      </c>
    </row>
    <row r="104" spans="1:19" ht="12.75" x14ac:dyDescent="0.2">
      <c r="A104" s="143"/>
      <c r="B104" s="143"/>
      <c r="C104" s="143"/>
      <c r="D104" s="144"/>
      <c r="E104" s="143"/>
      <c r="F104" s="143"/>
      <c r="G104" s="145"/>
      <c r="H104" s="146">
        <f t="shared" ref="H104:S104" si="102">G104</f>
        <v>0</v>
      </c>
      <c r="I104" s="146">
        <f t="shared" si="102"/>
        <v>0</v>
      </c>
      <c r="J104" s="146">
        <f t="shared" si="102"/>
        <v>0</v>
      </c>
      <c r="K104" s="146">
        <f t="shared" si="102"/>
        <v>0</v>
      </c>
      <c r="L104" s="146">
        <f t="shared" si="102"/>
        <v>0</v>
      </c>
      <c r="M104" s="146">
        <f t="shared" si="102"/>
        <v>0</v>
      </c>
      <c r="N104" s="146">
        <f t="shared" si="102"/>
        <v>0</v>
      </c>
      <c r="O104" s="146">
        <f t="shared" si="102"/>
        <v>0</v>
      </c>
      <c r="P104" s="146">
        <f t="shared" si="102"/>
        <v>0</v>
      </c>
      <c r="Q104" s="146">
        <f t="shared" si="102"/>
        <v>0</v>
      </c>
      <c r="R104" s="146">
        <f t="shared" si="102"/>
        <v>0</v>
      </c>
      <c r="S104" s="146">
        <f t="shared" si="102"/>
        <v>0</v>
      </c>
    </row>
    <row r="105" spans="1:19" ht="12.75" x14ac:dyDescent="0.2">
      <c r="A105" s="143"/>
      <c r="B105" s="143"/>
      <c r="C105" s="143"/>
      <c r="D105" s="144"/>
      <c r="E105" s="143"/>
      <c r="F105" s="143"/>
      <c r="G105" s="145"/>
      <c r="H105" s="146">
        <f t="shared" ref="H105:S105" si="103">G105</f>
        <v>0</v>
      </c>
      <c r="I105" s="146">
        <f t="shared" si="103"/>
        <v>0</v>
      </c>
      <c r="J105" s="146">
        <f t="shared" si="103"/>
        <v>0</v>
      </c>
      <c r="K105" s="146">
        <f t="shared" si="103"/>
        <v>0</v>
      </c>
      <c r="L105" s="146">
        <f t="shared" si="103"/>
        <v>0</v>
      </c>
      <c r="M105" s="146">
        <f t="shared" si="103"/>
        <v>0</v>
      </c>
      <c r="N105" s="146">
        <f t="shared" si="103"/>
        <v>0</v>
      </c>
      <c r="O105" s="146">
        <f t="shared" si="103"/>
        <v>0</v>
      </c>
      <c r="P105" s="146">
        <f t="shared" si="103"/>
        <v>0</v>
      </c>
      <c r="Q105" s="146">
        <f t="shared" si="103"/>
        <v>0</v>
      </c>
      <c r="R105" s="146">
        <f t="shared" si="103"/>
        <v>0</v>
      </c>
      <c r="S105" s="146">
        <f t="shared" si="103"/>
        <v>0</v>
      </c>
    </row>
  </sheetData>
  <dataConsolidate/>
  <mergeCells count="4">
    <mergeCell ref="C3:F3"/>
    <mergeCell ref="C4:G4"/>
    <mergeCell ref="A1:D1"/>
    <mergeCell ref="E1:G1"/>
  </mergeCells>
  <phoneticPr fontId="22" type="noConversion"/>
  <conditionalFormatting sqref="F2">
    <cfRule type="cellIs" dxfId="38" priority="12" stopIfTrue="1" operator="equal">
      <formula>"Completed"</formula>
    </cfRule>
    <cfRule type="cellIs" dxfId="37" priority="13" stopIfTrue="1" operator="equal">
      <formula>"Not Started"</formula>
    </cfRule>
    <cfRule type="cellIs" dxfId="36" priority="14" stopIfTrue="1" operator="equal">
      <formula>"In Progress"</formula>
    </cfRule>
  </conditionalFormatting>
  <conditionalFormatting sqref="H21:J21 H23:J23 H25:J25 H14:S14 H16:S19 H28:S105">
    <cfRule type="expression" dxfId="35" priority="15" stopIfTrue="1">
      <formula>WEEKDAY( H$2, 3 ) &gt;= 5</formula>
    </cfRule>
  </conditionalFormatting>
  <conditionalFormatting sqref="K21 K23 K25">
    <cfRule type="expression" dxfId="34" priority="9" stopIfTrue="1">
      <formula>WEEKDAY( K$2, 3 ) &gt;= 5</formula>
    </cfRule>
  </conditionalFormatting>
  <conditionalFormatting sqref="L21 L23 L25">
    <cfRule type="expression" dxfId="33" priority="8" stopIfTrue="1">
      <formula>WEEKDAY( L$2, 3 ) &gt;= 5</formula>
    </cfRule>
  </conditionalFormatting>
  <conditionalFormatting sqref="M21 M23 M25">
    <cfRule type="expression" dxfId="32" priority="7" stopIfTrue="1">
      <formula>WEEKDAY( M$2, 3 ) &gt;= 5</formula>
    </cfRule>
  </conditionalFormatting>
  <conditionalFormatting sqref="N21 N23 N25">
    <cfRule type="expression" dxfId="31" priority="6" stopIfTrue="1">
      <formula>WEEKDAY( N$2, 3 ) &gt;= 5</formula>
    </cfRule>
  </conditionalFormatting>
  <conditionalFormatting sqref="O21 O23 O25">
    <cfRule type="expression" dxfId="30" priority="5" stopIfTrue="1">
      <formula>WEEKDAY( O$2, 3 ) &gt;= 5</formula>
    </cfRule>
  </conditionalFormatting>
  <conditionalFormatting sqref="P21 P23 P25">
    <cfRule type="expression" dxfId="29" priority="4" stopIfTrue="1">
      <formula>WEEKDAY( P$2, 3 ) &gt;= 5</formula>
    </cfRule>
  </conditionalFormatting>
  <conditionalFormatting sqref="Q21 Q23 Q25">
    <cfRule type="expression" dxfId="28" priority="3" stopIfTrue="1">
      <formula>WEEKDAY( Q$2, 3 ) &gt;= 5</formula>
    </cfRule>
  </conditionalFormatting>
  <conditionalFormatting sqref="R21 R23 R25">
    <cfRule type="expression" dxfId="27" priority="2" stopIfTrue="1">
      <formula>WEEKDAY( R$2, 3 ) &gt;= 5</formula>
    </cfRule>
  </conditionalFormatting>
  <conditionalFormatting sqref="S21 S23 S25">
    <cfRule type="expression" dxfId="26" priority="1" stopIfTrue="1">
      <formula>WEEKDAY( S$2, 3 ) &gt;= 5</formula>
    </cfRule>
  </conditionalFormatting>
  <conditionalFormatting sqref="H11:S11">
    <cfRule type="expression" dxfId="25" priority="16" stopIfTrue="1">
      <formula>WEEKDAY( H$2, 3 ) &gt;= 5</formula>
    </cfRule>
  </conditionalFormatting>
  <conditionalFormatting sqref="H8:S8">
    <cfRule type="expression" dxfId="24" priority="17" stopIfTrue="1">
      <formula>WEEKDAY( H$2, 3 ) &gt;= 5</formula>
    </cfRule>
  </conditionalFormatting>
  <conditionalFormatting sqref="H7:S7">
    <cfRule type="expression" dxfId="23" priority="18" stopIfTrue="1">
      <formula>WEEKDAY( H$2, 3 ) &gt;= 5</formula>
    </cfRule>
  </conditionalFormatting>
  <conditionalFormatting sqref="H6:S6">
    <cfRule type="expression" dxfId="22" priority="19" stopIfTrue="1">
      <formula>WEEKDAY( H$2, 3 ) &gt;= 5</formula>
    </cfRule>
  </conditionalFormatting>
  <conditionalFormatting sqref="H5:S5">
    <cfRule type="expression" dxfId="21" priority="20" stopIfTrue="1">
      <formula>WEEKDAY( H$2, 3 ) &gt;= 5</formula>
    </cfRule>
  </conditionalFormatting>
  <conditionalFormatting sqref="H20:S20">
    <cfRule type="expression" dxfId="20" priority="21" stopIfTrue="1">
      <formula>WEEKDAY( H$2, 3 ) &gt;= 5</formula>
    </cfRule>
  </conditionalFormatting>
  <conditionalFormatting sqref="H22:S22">
    <cfRule type="expression" dxfId="19" priority="22" stopIfTrue="1">
      <formula>WEEKDAY( H$2, 3 ) &gt;= 5</formula>
    </cfRule>
  </conditionalFormatting>
  <conditionalFormatting sqref="H24:S24">
    <cfRule type="expression" dxfId="18" priority="23" stopIfTrue="1">
      <formula>WEEKDAY( H$2, 3 ) &gt;= 5</formula>
    </cfRule>
  </conditionalFormatting>
  <conditionalFormatting sqref="H26:S26">
    <cfRule type="expression" dxfId="17" priority="24" stopIfTrue="1">
      <formula>WEEKDAY( H$2, 3 ) &gt;= 5</formula>
    </cfRule>
  </conditionalFormatting>
  <conditionalFormatting sqref="H15:S15">
    <cfRule type="expression" dxfId="16" priority="25" stopIfTrue="1">
      <formula>WEEKDAY( H$2, 3 ) &gt;= 5</formula>
    </cfRule>
  </conditionalFormatting>
  <conditionalFormatting sqref="H27:S27">
    <cfRule type="expression" dxfId="15" priority="26" stopIfTrue="1">
      <formula>WEEKDAY( H$2, 3 ) &gt;= 5</formula>
    </cfRule>
  </conditionalFormatting>
  <conditionalFormatting sqref="H9:S9">
    <cfRule type="expression" dxfId="14" priority="27" stopIfTrue="1">
      <formula>WEEKDAY( H$2, 3 ) &gt;= 5</formula>
    </cfRule>
  </conditionalFormatting>
  <conditionalFormatting sqref="H13:S13">
    <cfRule type="expression" dxfId="13" priority="28" stopIfTrue="1">
      <formula>WEEKDAY( H$2, 3 ) &gt;= 5</formula>
    </cfRule>
  </conditionalFormatting>
  <conditionalFormatting sqref="H12:S12">
    <cfRule type="expression" dxfId="12" priority="29" stopIfTrue="1">
      <formula>WEEKDAY( H$2, 3 ) &gt;= 5</formula>
    </cfRule>
  </conditionalFormatting>
  <conditionalFormatting sqref="H10:S10">
    <cfRule type="expression" dxfId="11" priority="30" stopIfTrue="1">
      <formula>WEEKDAY( H$2, 3 ) &gt;= 5</formula>
    </cfRule>
  </conditionalFormatting>
  <dataValidations count="1">
    <dataValidation allowBlank="1" showInputMessage="1" error="Please choose one of the values from the dropdown list._x000d__x000a__x000d__x000a_Delete the contents of the cell to clear a previous selection." sqref="D2"/>
  </dataValidations>
  <printOptions gridLines="1"/>
  <pageMargins left="0" right="0" top="0.5" bottom="0.5" header="0.31" footer="0.18"/>
  <pageSetup scale="90" orientation="landscape" horizontalDpi="300" verticalDpi="300" r:id="rId1"/>
  <headerFooter alignWithMargins="0">
    <oddFooter>&amp;L&amp;"Arial,Italic"&amp;8&amp;F / &amp;A&amp;R&amp;"Arial,Italic"&amp;8Printed on : 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ixUseOwnerDropdown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600075</xdr:rowOff>
                  </from>
                  <to>
                    <xdr:col>1</xdr:col>
                    <xdr:colOff>1019175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uixDataEntryDoneForDay">
              <controlPr defaultSize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1000125</xdr:colOff>
                    <xdr:row>2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amMemberBurndownSheet">
    <tabColor indexed="31"/>
  </sheetPr>
  <dimension ref="A1:N41"/>
  <sheetViews>
    <sheetView workbookViewId="0">
      <selection activeCell="A2" sqref="A2"/>
    </sheetView>
  </sheetViews>
  <sheetFormatPr defaultColWidth="6.7109375" defaultRowHeight="12.75" x14ac:dyDescent="0.2"/>
  <cols>
    <col min="1" max="1" width="14.5703125" style="1" customWidth="1"/>
    <col min="2" max="2" width="6.5703125" style="1" customWidth="1"/>
    <col min="3" max="14" width="6.7109375" style="1" customWidth="1"/>
  </cols>
  <sheetData>
    <row r="1" spans="1:14" ht="37.5" customHeight="1" x14ac:dyDescent="0.25">
      <c r="A1" s="219" t="str">
        <f>Calculations!A45</f>
        <v>Washington Redskins
Team Member Burndown Chart -- Embrace Reality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</row>
    <row r="2" spans="1:14" x14ac:dyDescent="0.2">
      <c r="A2" s="120"/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</row>
    <row r="3" spans="1:14" x14ac:dyDescent="0.2">
      <c r="A3" s="121" t="s">
        <v>88</v>
      </c>
      <c r="B3" s="122">
        <f>NumberOfCalendarDaysInSprint * NumberOfWorkHoursInDay</f>
        <v>96</v>
      </c>
      <c r="C3" s="122">
        <f t="shared" ref="C3:N3" si="0">B3 - NumberOfWorkHoursInDay</f>
        <v>88</v>
      </c>
      <c r="D3" s="122">
        <f t="shared" si="0"/>
        <v>80</v>
      </c>
      <c r="E3" s="122">
        <f t="shared" si="0"/>
        <v>72</v>
      </c>
      <c r="F3" s="122">
        <f t="shared" si="0"/>
        <v>64</v>
      </c>
      <c r="G3" s="122">
        <f t="shared" si="0"/>
        <v>56</v>
      </c>
      <c r="H3" s="122">
        <f t="shared" si="0"/>
        <v>48</v>
      </c>
      <c r="I3" s="122">
        <f t="shared" si="0"/>
        <v>40</v>
      </c>
      <c r="J3" s="122">
        <f t="shared" si="0"/>
        <v>32</v>
      </c>
      <c r="K3" s="122">
        <f t="shared" si="0"/>
        <v>24</v>
      </c>
      <c r="L3" s="122">
        <f t="shared" si="0"/>
        <v>16</v>
      </c>
      <c r="M3" s="122">
        <f t="shared" si="0"/>
        <v>8</v>
      </c>
      <c r="N3" s="122">
        <f t="shared" si="0"/>
        <v>0</v>
      </c>
    </row>
    <row r="4" spans="1:14" x14ac:dyDescent="0.2">
      <c r="A4" s="123" t="s">
        <v>89</v>
      </c>
      <c r="B4" s="124">
        <v>0</v>
      </c>
      <c r="C4" s="124">
        <f t="shared" ref="C4:N4" si="1">B4+1</f>
        <v>1</v>
      </c>
      <c r="D4" s="124">
        <f t="shared" si="1"/>
        <v>2</v>
      </c>
      <c r="E4" s="124">
        <f t="shared" si="1"/>
        <v>3</v>
      </c>
      <c r="F4" s="124">
        <f t="shared" si="1"/>
        <v>4</v>
      </c>
      <c r="G4" s="124">
        <f t="shared" si="1"/>
        <v>5</v>
      </c>
      <c r="H4" s="124">
        <f t="shared" si="1"/>
        <v>6</v>
      </c>
      <c r="I4" s="124">
        <f t="shared" si="1"/>
        <v>7</v>
      </c>
      <c r="J4" s="124">
        <f t="shared" si="1"/>
        <v>8</v>
      </c>
      <c r="K4" s="124">
        <f t="shared" si="1"/>
        <v>9</v>
      </c>
      <c r="L4" s="124">
        <f t="shared" si="1"/>
        <v>10</v>
      </c>
      <c r="M4" s="124">
        <f t="shared" si="1"/>
        <v>11</v>
      </c>
      <c r="N4" s="124">
        <f t="shared" si="1"/>
        <v>12</v>
      </c>
    </row>
    <row r="5" spans="1:14" ht="60" customHeight="1" thickBot="1" x14ac:dyDescent="0.25">
      <c r="A5" s="125" t="s">
        <v>41</v>
      </c>
      <c r="B5" s="126" t="s">
        <v>90</v>
      </c>
      <c r="C5" s="127">
        <f>SprintStartDate</f>
        <v>42667</v>
      </c>
      <c r="D5" s="127">
        <f t="shared" ref="D5:N5" si="2">C5+1</f>
        <v>42668</v>
      </c>
      <c r="E5" s="127">
        <f t="shared" si="2"/>
        <v>42669</v>
      </c>
      <c r="F5" s="127">
        <f t="shared" si="2"/>
        <v>42670</v>
      </c>
      <c r="G5" s="127">
        <f t="shared" si="2"/>
        <v>42671</v>
      </c>
      <c r="H5" s="127">
        <f t="shared" si="2"/>
        <v>42672</v>
      </c>
      <c r="I5" s="127">
        <f t="shared" si="2"/>
        <v>42673</v>
      </c>
      <c r="J5" s="127">
        <f t="shared" si="2"/>
        <v>42674</v>
      </c>
      <c r="K5" s="127">
        <f t="shared" si="2"/>
        <v>42675</v>
      </c>
      <c r="L5" s="127">
        <f t="shared" si="2"/>
        <v>42676</v>
      </c>
      <c r="M5" s="127">
        <f t="shared" si="2"/>
        <v>42677</v>
      </c>
      <c r="N5" s="127">
        <f t="shared" si="2"/>
        <v>42678</v>
      </c>
    </row>
    <row r="6" spans="1:14" x14ac:dyDescent="0.2">
      <c r="A6" s="128" t="str">
        <f>Planning!$C$9</f>
        <v>JD</v>
      </c>
      <c r="B6" s="129">
        <f>DailyWorkRemaining( 'Sprint Backlog'!$D$5:$D$65526, $A6, 'Sprint Backlog'!G$5:G$65526 )</f>
        <v>14</v>
      </c>
      <c r="C6" s="129">
        <f>DailyWorkRemaining( 'Sprint Backlog'!$D$5:$D$65526, $A6, 'Sprint Backlog'!H$5:H$65526 )</f>
        <v>6</v>
      </c>
      <c r="D6" s="129">
        <f>DailyWorkRemaining( 'Sprint Backlog'!$D$5:$D$65526, $A6, 'Sprint Backlog'!I$5:I$65526 )</f>
        <v>6</v>
      </c>
      <c r="E6" s="129">
        <f>DailyWorkRemaining( 'Sprint Backlog'!$D$5:$D$65526, $A6, 'Sprint Backlog'!J$5:J$65526 )</f>
        <v>6</v>
      </c>
      <c r="F6" s="129">
        <f>DailyWorkRemaining( 'Sprint Backlog'!$D$5:$D$65526, $A6, 'Sprint Backlog'!K$5:K$65526 )</f>
        <v>5</v>
      </c>
      <c r="G6" s="129">
        <f>DailyWorkRemaining( 'Sprint Backlog'!$D$5:$D$65526, $A6, 'Sprint Backlog'!L$5:L$65526 )</f>
        <v>4</v>
      </c>
      <c r="H6" s="129">
        <f>DailyWorkRemaining( 'Sprint Backlog'!$D$5:$D$65526, $A6, 'Sprint Backlog'!M$5:M$65526 )</f>
        <v>4</v>
      </c>
      <c r="I6" s="129">
        <f>DailyWorkRemaining( 'Sprint Backlog'!$D$5:$D$65526, $A6, 'Sprint Backlog'!N$5:N$65526 )</f>
        <v>4</v>
      </c>
      <c r="J6" s="129">
        <f>DailyWorkRemaining( 'Sprint Backlog'!$D$5:$D$65526, $A6, 'Sprint Backlog'!O$5:O$65526 )</f>
        <v>4</v>
      </c>
      <c r="K6" s="129">
        <f>DailyWorkRemaining( 'Sprint Backlog'!$D$5:$D$65526, $A6, 'Sprint Backlog'!P$5:P$65526 )</f>
        <v>4</v>
      </c>
      <c r="L6" s="129">
        <f>DailyWorkRemaining( 'Sprint Backlog'!$D$5:$D$65526, $A6, 'Sprint Backlog'!Q$5:Q$65526 )</f>
        <v>4</v>
      </c>
      <c r="M6" s="129">
        <f>DailyWorkRemaining( 'Sprint Backlog'!$D$5:$D$65526, $A6, 'Sprint Backlog'!R$5:R$65526 )</f>
        <v>0</v>
      </c>
      <c r="N6" s="129">
        <f>DailyWorkRemaining( 'Sprint Backlog'!$D$5:$D$65526, $A6, 'Sprint Backlog'!S$5:S$65526 )</f>
        <v>0</v>
      </c>
    </row>
    <row r="7" spans="1:14" x14ac:dyDescent="0.2">
      <c r="A7" s="130" t="str">
        <f>Planning!$D$9</f>
        <v>DW</v>
      </c>
      <c r="B7" s="131">
        <f>DailyWorkRemaining( 'Sprint Backlog'!$D$5:$D$65526, $A7, 'Sprint Backlog'!G$5:G$65526 )</f>
        <v>14</v>
      </c>
      <c r="C7" s="131">
        <f>DailyWorkRemaining( 'Sprint Backlog'!$D$5:$D$65526, $A7, 'Sprint Backlog'!H$5:H$65526 )</f>
        <v>14</v>
      </c>
      <c r="D7" s="131">
        <f>DailyWorkRemaining( 'Sprint Backlog'!$D$5:$D$65526, $A7, 'Sprint Backlog'!I$5:I$65526 )</f>
        <v>12</v>
      </c>
      <c r="E7" s="131">
        <f>DailyWorkRemaining( 'Sprint Backlog'!$D$5:$D$65526, $A7, 'Sprint Backlog'!J$5:J$65526 )</f>
        <v>11</v>
      </c>
      <c r="F7" s="131">
        <f>DailyWorkRemaining( 'Sprint Backlog'!$D$5:$D$65526, $A7, 'Sprint Backlog'!K$5:K$65526 )</f>
        <v>10</v>
      </c>
      <c r="G7" s="131">
        <f>DailyWorkRemaining( 'Sprint Backlog'!$D$5:$D$65526, $A7, 'Sprint Backlog'!L$5:L$65526 )</f>
        <v>10</v>
      </c>
      <c r="H7" s="131">
        <f>DailyWorkRemaining( 'Sprint Backlog'!$D$5:$D$65526, $A7, 'Sprint Backlog'!M$5:M$65526 )</f>
        <v>10</v>
      </c>
      <c r="I7" s="131">
        <f>DailyWorkRemaining( 'Sprint Backlog'!$D$5:$D$65526, $A7, 'Sprint Backlog'!N$5:N$65526 )</f>
        <v>10</v>
      </c>
      <c r="J7" s="131">
        <f>DailyWorkRemaining( 'Sprint Backlog'!$D$5:$D$65526, $A7, 'Sprint Backlog'!O$5:O$65526 )</f>
        <v>8</v>
      </c>
      <c r="K7" s="131">
        <f>DailyWorkRemaining( 'Sprint Backlog'!$D$5:$D$65526, $A7, 'Sprint Backlog'!P$5:P$65526 )</f>
        <v>8</v>
      </c>
      <c r="L7" s="131">
        <f>DailyWorkRemaining( 'Sprint Backlog'!$D$5:$D$65526, $A7, 'Sprint Backlog'!Q$5:Q$65526 )</f>
        <v>6</v>
      </c>
      <c r="M7" s="131">
        <f>DailyWorkRemaining( 'Sprint Backlog'!$D$5:$D$65526, $A7, 'Sprint Backlog'!R$5:R$65526 )</f>
        <v>6</v>
      </c>
      <c r="N7" s="131">
        <f>DailyWorkRemaining( 'Sprint Backlog'!$D$5:$D$65526, $A7, 'Sprint Backlog'!S$5:S$65526 )</f>
        <v>6</v>
      </c>
    </row>
    <row r="8" spans="1:14" x14ac:dyDescent="0.2">
      <c r="A8" s="132" t="str">
        <f>Planning!$E$9</f>
        <v>LJ</v>
      </c>
      <c r="B8" s="133">
        <f>DailyWorkRemaining( 'Sprint Backlog'!$D$5:$D$65526, $A8, 'Sprint Backlog'!G$5:G$65526 )</f>
        <v>14</v>
      </c>
      <c r="C8" s="133">
        <f>DailyWorkRemaining( 'Sprint Backlog'!$D$5:$D$65526, $A8, 'Sprint Backlog'!H$5:H$65526 )</f>
        <v>14</v>
      </c>
      <c r="D8" s="133">
        <f>DailyWorkRemaining( 'Sprint Backlog'!$D$5:$D$65526, $A8, 'Sprint Backlog'!I$5:I$65526 )</f>
        <v>14</v>
      </c>
      <c r="E8" s="133">
        <f>DailyWorkRemaining( 'Sprint Backlog'!$D$5:$D$65526, $A8, 'Sprint Backlog'!J$5:J$65526 )</f>
        <v>14</v>
      </c>
      <c r="F8" s="133">
        <f>DailyWorkRemaining( 'Sprint Backlog'!$D$5:$D$65526, $A8, 'Sprint Backlog'!K$5:K$65526 )</f>
        <v>14</v>
      </c>
      <c r="G8" s="133">
        <f>DailyWorkRemaining( 'Sprint Backlog'!$D$5:$D$65526, $A8, 'Sprint Backlog'!L$5:L$65526 )</f>
        <v>15</v>
      </c>
      <c r="H8" s="133">
        <f>DailyWorkRemaining( 'Sprint Backlog'!$D$5:$D$65526, $A8, 'Sprint Backlog'!M$5:M$65526 )</f>
        <v>14</v>
      </c>
      <c r="I8" s="133">
        <f>DailyWorkRemaining( 'Sprint Backlog'!$D$5:$D$65526, $A8, 'Sprint Backlog'!N$5:N$65526 )</f>
        <v>14</v>
      </c>
      <c r="J8" s="133">
        <f>DailyWorkRemaining( 'Sprint Backlog'!$D$5:$D$65526, $A8, 'Sprint Backlog'!O$5:O$65526 )</f>
        <v>13</v>
      </c>
      <c r="K8" s="133">
        <f>DailyWorkRemaining( 'Sprint Backlog'!$D$5:$D$65526, $A8, 'Sprint Backlog'!P$5:P$65526 )</f>
        <v>13</v>
      </c>
      <c r="L8" s="133">
        <f>DailyWorkRemaining( 'Sprint Backlog'!$D$5:$D$65526, $A8, 'Sprint Backlog'!Q$5:Q$65526 )</f>
        <v>9</v>
      </c>
      <c r="M8" s="133">
        <f>DailyWorkRemaining( 'Sprint Backlog'!$D$5:$D$65526, $A8, 'Sprint Backlog'!R$5:R$65526 )</f>
        <v>7</v>
      </c>
      <c r="N8" s="133">
        <f>DailyWorkRemaining( 'Sprint Backlog'!$D$5:$D$65526, $A8, 'Sprint Backlog'!S$5:S$65526 )</f>
        <v>7</v>
      </c>
    </row>
    <row r="9" spans="1:14" x14ac:dyDescent="0.2">
      <c r="A9" s="130" t="str">
        <f>Planning!$F$9</f>
        <v>RT</v>
      </c>
      <c r="B9" s="131">
        <f>DailyWorkRemaining( 'Sprint Backlog'!$D$5:$D$65526, $A9, 'Sprint Backlog'!G$5:G$65526 )</f>
        <v>12</v>
      </c>
      <c r="C9" s="131">
        <f>DailyWorkRemaining( 'Sprint Backlog'!$D$5:$D$65526, $A9, 'Sprint Backlog'!H$5:H$65526 )</f>
        <v>12</v>
      </c>
      <c r="D9" s="131">
        <f>DailyWorkRemaining( 'Sprint Backlog'!$D$5:$D$65526, $A9, 'Sprint Backlog'!I$5:I$65526 )</f>
        <v>12</v>
      </c>
      <c r="E9" s="131">
        <f>DailyWorkRemaining( 'Sprint Backlog'!$D$5:$D$65526, $A9, 'Sprint Backlog'!J$5:J$65526 )</f>
        <v>12</v>
      </c>
      <c r="F9" s="131">
        <f>DailyWorkRemaining( 'Sprint Backlog'!$D$5:$D$65526, $A9, 'Sprint Backlog'!K$5:K$65526 )</f>
        <v>12</v>
      </c>
      <c r="G9" s="131">
        <f>DailyWorkRemaining( 'Sprint Backlog'!$D$5:$D$65526, $A9, 'Sprint Backlog'!L$5:L$65526 )</f>
        <v>12</v>
      </c>
      <c r="H9" s="131">
        <f>DailyWorkRemaining( 'Sprint Backlog'!$D$5:$D$65526, $A9, 'Sprint Backlog'!M$5:M$65526 )</f>
        <v>12</v>
      </c>
      <c r="I9" s="131">
        <f>DailyWorkRemaining( 'Sprint Backlog'!$D$5:$D$65526, $A9, 'Sprint Backlog'!N$5:N$65526 )</f>
        <v>12</v>
      </c>
      <c r="J9" s="131">
        <f>DailyWorkRemaining( 'Sprint Backlog'!$D$5:$D$65526, $A9, 'Sprint Backlog'!O$5:O$65526 )</f>
        <v>12</v>
      </c>
      <c r="K9" s="131">
        <f>DailyWorkRemaining( 'Sprint Backlog'!$D$5:$D$65526, $A9, 'Sprint Backlog'!P$5:P$65526 )</f>
        <v>12</v>
      </c>
      <c r="L9" s="131">
        <f>DailyWorkRemaining( 'Sprint Backlog'!$D$5:$D$65526, $A9, 'Sprint Backlog'!Q$5:Q$65526 )</f>
        <v>12</v>
      </c>
      <c r="M9" s="131">
        <f>DailyWorkRemaining( 'Sprint Backlog'!$D$5:$D$65526, $A9, 'Sprint Backlog'!R$5:R$65526 )</f>
        <v>12</v>
      </c>
      <c r="N9" s="131">
        <f>DailyWorkRemaining( 'Sprint Backlog'!$D$5:$D$65526, $A9, 'Sprint Backlog'!S$5:S$65526 )</f>
        <v>12</v>
      </c>
    </row>
    <row r="10" spans="1:14" x14ac:dyDescent="0.2">
      <c r="A10" s="132" t="str">
        <f>Planning!$G$9</f>
        <v>MC</v>
      </c>
      <c r="B10" s="133">
        <f>DailyWorkRemaining( 'Sprint Backlog'!$D$5:$D$65526, $A10, 'Sprint Backlog'!G$5:G$65526 )</f>
        <v>21</v>
      </c>
      <c r="C10" s="133">
        <f>DailyWorkRemaining( 'Sprint Backlog'!$D$5:$D$65526, $A10, 'Sprint Backlog'!H$5:H$65526 )</f>
        <v>18</v>
      </c>
      <c r="D10" s="133">
        <f>DailyWorkRemaining( 'Sprint Backlog'!$D$5:$D$65526, $A10, 'Sprint Backlog'!I$5:I$65526 )</f>
        <v>18</v>
      </c>
      <c r="E10" s="133">
        <f>DailyWorkRemaining( 'Sprint Backlog'!$D$5:$D$65526, $A10, 'Sprint Backlog'!J$5:J$65526 )</f>
        <v>17</v>
      </c>
      <c r="F10" s="133">
        <f>DailyWorkRemaining( 'Sprint Backlog'!$D$5:$D$65526, $A10, 'Sprint Backlog'!K$5:K$65526 )</f>
        <v>16</v>
      </c>
      <c r="G10" s="133">
        <f>DailyWorkRemaining( 'Sprint Backlog'!$D$5:$D$65526, $A10, 'Sprint Backlog'!L$5:L$65526 )</f>
        <v>14</v>
      </c>
      <c r="H10" s="133">
        <f>DailyWorkRemaining( 'Sprint Backlog'!$D$5:$D$65526, $A10, 'Sprint Backlog'!M$5:M$65526 )</f>
        <v>14</v>
      </c>
      <c r="I10" s="133">
        <f>DailyWorkRemaining( 'Sprint Backlog'!$D$5:$D$65526, $A10, 'Sprint Backlog'!N$5:N$65526 )</f>
        <v>14</v>
      </c>
      <c r="J10" s="133">
        <f>DailyWorkRemaining( 'Sprint Backlog'!$D$5:$D$65526, $A10, 'Sprint Backlog'!O$5:O$65526 )</f>
        <v>13</v>
      </c>
      <c r="K10" s="133">
        <f>DailyWorkRemaining( 'Sprint Backlog'!$D$5:$D$65526, $A10, 'Sprint Backlog'!P$5:P$65526 )</f>
        <v>13</v>
      </c>
      <c r="L10" s="133">
        <f>DailyWorkRemaining( 'Sprint Backlog'!$D$5:$D$65526, $A10, 'Sprint Backlog'!Q$5:Q$65526 )</f>
        <v>11</v>
      </c>
      <c r="M10" s="133">
        <f>DailyWorkRemaining( 'Sprint Backlog'!$D$5:$D$65526, $A10, 'Sprint Backlog'!R$5:R$65526 )</f>
        <v>11</v>
      </c>
      <c r="N10" s="133">
        <f>DailyWorkRemaining( 'Sprint Backlog'!$D$5:$D$65526, $A10, 'Sprint Backlog'!S$5:S$65526 )</f>
        <v>11</v>
      </c>
    </row>
    <row r="11" spans="1:14" x14ac:dyDescent="0.2">
      <c r="A11" s="130" t="str">
        <f>Planning!$H$9</f>
        <v>COC</v>
      </c>
      <c r="B11" s="131">
        <f>DailyWorkRemaining( 'Sprint Backlog'!$D$5:$D$65526, $A11, 'Sprint Backlog'!G$5:G$65526 )</f>
        <v>9</v>
      </c>
      <c r="C11" s="131">
        <f>DailyWorkRemaining( 'Sprint Backlog'!$D$5:$D$65526, $A11, 'Sprint Backlog'!H$5:H$65526 )</f>
        <v>5</v>
      </c>
      <c r="D11" s="131">
        <f>DailyWorkRemaining( 'Sprint Backlog'!$D$5:$D$65526, $A11, 'Sprint Backlog'!I$5:I$65526 )</f>
        <v>2</v>
      </c>
      <c r="E11" s="131">
        <f>DailyWorkRemaining( 'Sprint Backlog'!$D$5:$D$65526, $A11, 'Sprint Backlog'!J$5:J$65526 )</f>
        <v>2</v>
      </c>
      <c r="F11" s="131">
        <f>DailyWorkRemaining( 'Sprint Backlog'!$D$5:$D$65526, $A11, 'Sprint Backlog'!K$5:K$65526 )</f>
        <v>0</v>
      </c>
      <c r="G11" s="131">
        <f>DailyWorkRemaining( 'Sprint Backlog'!$D$5:$D$65526, $A11, 'Sprint Backlog'!L$5:L$65526 )</f>
        <v>0</v>
      </c>
      <c r="H11" s="131">
        <f>DailyWorkRemaining( 'Sprint Backlog'!$D$5:$D$65526, $A11, 'Sprint Backlog'!M$5:M$65526 )</f>
        <v>0</v>
      </c>
      <c r="I11" s="131">
        <f>DailyWorkRemaining( 'Sprint Backlog'!$D$5:$D$65526, $A11, 'Sprint Backlog'!N$5:N$65526 )</f>
        <v>0</v>
      </c>
      <c r="J11" s="131">
        <f>DailyWorkRemaining( 'Sprint Backlog'!$D$5:$D$65526, $A11, 'Sprint Backlog'!O$5:O$65526 )</f>
        <v>0</v>
      </c>
      <c r="K11" s="131">
        <f>DailyWorkRemaining( 'Sprint Backlog'!$D$5:$D$65526, $A11, 'Sprint Backlog'!P$5:P$65526 )</f>
        <v>0</v>
      </c>
      <c r="L11" s="131">
        <f>DailyWorkRemaining( 'Sprint Backlog'!$D$5:$D$65526, $A11, 'Sprint Backlog'!Q$5:Q$65526 )</f>
        <v>0</v>
      </c>
      <c r="M11" s="131">
        <f>DailyWorkRemaining( 'Sprint Backlog'!$D$5:$D$65526, $A11, 'Sprint Backlog'!R$5:R$65526 )</f>
        <v>0</v>
      </c>
      <c r="N11" s="131">
        <f>DailyWorkRemaining( 'Sprint Backlog'!$D$5:$D$65526, $A11, 'Sprint Backlog'!S$5:S$65526 )</f>
        <v>0</v>
      </c>
    </row>
    <row r="12" spans="1:14" x14ac:dyDescent="0.2">
      <c r="A12" s="132" t="str">
        <f>Planning!$I$9</f>
        <v>CM</v>
      </c>
      <c r="B12" s="133">
        <f>DailyWorkRemaining( 'Sprint Backlog'!$D$5:$D$65526, $A12, 'Sprint Backlog'!G$5:G$65526 )</f>
        <v>22</v>
      </c>
      <c r="C12" s="133">
        <f>DailyWorkRemaining( 'Sprint Backlog'!$D$5:$D$65526, $A12, 'Sprint Backlog'!H$5:H$65526 )</f>
        <v>21</v>
      </c>
      <c r="D12" s="133">
        <f>DailyWorkRemaining( 'Sprint Backlog'!$D$5:$D$65526, $A12, 'Sprint Backlog'!I$5:I$65526 )</f>
        <v>19</v>
      </c>
      <c r="E12" s="133">
        <f>DailyWorkRemaining( 'Sprint Backlog'!$D$5:$D$65526, $A12, 'Sprint Backlog'!J$5:J$65526 )</f>
        <v>14</v>
      </c>
      <c r="F12" s="133">
        <f>DailyWorkRemaining( 'Sprint Backlog'!$D$5:$D$65526, $A12, 'Sprint Backlog'!K$5:K$65526 )</f>
        <v>8</v>
      </c>
      <c r="G12" s="133">
        <f>DailyWorkRemaining( 'Sprint Backlog'!$D$5:$D$65526, $A12, 'Sprint Backlog'!L$5:L$65526 )</f>
        <v>6</v>
      </c>
      <c r="H12" s="133">
        <f>DailyWorkRemaining( 'Sprint Backlog'!$D$5:$D$65526, $A12, 'Sprint Backlog'!M$5:M$65526 )</f>
        <v>6</v>
      </c>
      <c r="I12" s="133">
        <f>DailyWorkRemaining( 'Sprint Backlog'!$D$5:$D$65526, $A12, 'Sprint Backlog'!N$5:N$65526 )</f>
        <v>6</v>
      </c>
      <c r="J12" s="133">
        <f>DailyWorkRemaining( 'Sprint Backlog'!$D$5:$D$65526, $A12, 'Sprint Backlog'!O$5:O$65526 )</f>
        <v>4</v>
      </c>
      <c r="K12" s="133">
        <f>DailyWorkRemaining( 'Sprint Backlog'!$D$5:$D$65526, $A12, 'Sprint Backlog'!P$5:P$65526 )</f>
        <v>4</v>
      </c>
      <c r="L12" s="133">
        <f>DailyWorkRemaining( 'Sprint Backlog'!$D$5:$D$65526, $A12, 'Sprint Backlog'!Q$5:Q$65526 )</f>
        <v>4</v>
      </c>
      <c r="M12" s="133">
        <f>DailyWorkRemaining( 'Sprint Backlog'!$D$5:$D$65526, $A12, 'Sprint Backlog'!R$5:R$65526 )</f>
        <v>4</v>
      </c>
      <c r="N12" s="133">
        <f>DailyWorkRemaining( 'Sprint Backlog'!$D$5:$D$65526, $A12, 'Sprint Backlog'!S$5:S$65526 )</f>
        <v>4</v>
      </c>
    </row>
    <row r="13" spans="1:14" x14ac:dyDescent="0.2">
      <c r="A13" s="130" t="str">
        <f>Planning!$J$9</f>
        <v>CMRT</v>
      </c>
      <c r="B13" s="131">
        <f>DailyWorkRemaining( 'Sprint Backlog'!$D$5:$D$65526, $A13, 'Sprint Backlog'!G$5:G$65526 )</f>
        <v>6</v>
      </c>
      <c r="C13" s="131">
        <f>DailyWorkRemaining( 'Sprint Backlog'!$D$5:$D$65526, $A13, 'Sprint Backlog'!H$5:H$65526 )</f>
        <v>8</v>
      </c>
      <c r="D13" s="131">
        <f>DailyWorkRemaining( 'Sprint Backlog'!$D$5:$D$65526, $A13, 'Sprint Backlog'!I$5:I$65526 )</f>
        <v>3</v>
      </c>
      <c r="E13" s="131">
        <f>DailyWorkRemaining( 'Sprint Backlog'!$D$5:$D$65526, $A13, 'Sprint Backlog'!J$5:J$65526 )</f>
        <v>0</v>
      </c>
      <c r="F13" s="131">
        <f>DailyWorkRemaining( 'Sprint Backlog'!$D$5:$D$65526, $A13, 'Sprint Backlog'!K$5:K$65526 )</f>
        <v>0</v>
      </c>
      <c r="G13" s="131">
        <f>DailyWorkRemaining( 'Sprint Backlog'!$D$5:$D$65526, $A13, 'Sprint Backlog'!L$5:L$65526 )</f>
        <v>0</v>
      </c>
      <c r="H13" s="131">
        <f>DailyWorkRemaining( 'Sprint Backlog'!$D$5:$D$65526, $A13, 'Sprint Backlog'!M$5:M$65526 )</f>
        <v>0</v>
      </c>
      <c r="I13" s="131">
        <f>DailyWorkRemaining( 'Sprint Backlog'!$D$5:$D$65526, $A13, 'Sprint Backlog'!N$5:N$65526 )</f>
        <v>0</v>
      </c>
      <c r="J13" s="131">
        <f>DailyWorkRemaining( 'Sprint Backlog'!$D$5:$D$65526, $A13, 'Sprint Backlog'!O$5:O$65526 )</f>
        <v>0</v>
      </c>
      <c r="K13" s="131">
        <f>DailyWorkRemaining( 'Sprint Backlog'!$D$5:$D$65526, $A13, 'Sprint Backlog'!P$5:P$65526 )</f>
        <v>0</v>
      </c>
      <c r="L13" s="131">
        <f>DailyWorkRemaining( 'Sprint Backlog'!$D$5:$D$65526, $A13, 'Sprint Backlog'!Q$5:Q$65526 )</f>
        <v>0</v>
      </c>
      <c r="M13" s="131">
        <f>DailyWorkRemaining( 'Sprint Backlog'!$D$5:$D$65526, $A13, 'Sprint Backlog'!R$5:R$65526 )</f>
        <v>0</v>
      </c>
      <c r="N13" s="131">
        <f>DailyWorkRemaining( 'Sprint Backlog'!$D$5:$D$65526, $A13, 'Sprint Backlog'!S$5:S$65526 )</f>
        <v>0</v>
      </c>
    </row>
    <row r="14" spans="1:14" x14ac:dyDescent="0.2">
      <c r="A14" s="134" t="str">
        <f>Planning!$K$9</f>
        <v>LJCOC</v>
      </c>
      <c r="B14" s="135">
        <f>DailyWorkRemaining( 'Sprint Backlog'!$D$5:$D$65526, $A14, 'Sprint Backlog'!G$5:G$65526 )</f>
        <v>5</v>
      </c>
      <c r="C14" s="135">
        <f>DailyWorkRemaining( 'Sprint Backlog'!$D$5:$D$65526, $A14, 'Sprint Backlog'!H$5:H$65526 )</f>
        <v>5</v>
      </c>
      <c r="D14" s="135">
        <f>DailyWorkRemaining( 'Sprint Backlog'!$D$5:$D$65526, $A14, 'Sprint Backlog'!I$5:I$65526 )</f>
        <v>3</v>
      </c>
      <c r="E14" s="135">
        <f>DailyWorkRemaining( 'Sprint Backlog'!$D$5:$D$65526, $A14, 'Sprint Backlog'!J$5:J$65526 )</f>
        <v>0</v>
      </c>
      <c r="F14" s="135">
        <f>DailyWorkRemaining( 'Sprint Backlog'!$D$5:$D$65526, $A14, 'Sprint Backlog'!K$5:K$65526 )</f>
        <v>0</v>
      </c>
      <c r="G14" s="135">
        <f>DailyWorkRemaining( 'Sprint Backlog'!$D$5:$D$65526, $A14, 'Sprint Backlog'!L$5:L$65526 )</f>
        <v>0</v>
      </c>
      <c r="H14" s="135">
        <f>DailyWorkRemaining( 'Sprint Backlog'!$D$5:$D$65526, $A14, 'Sprint Backlog'!M$5:M$65526 )</f>
        <v>0</v>
      </c>
      <c r="I14" s="135">
        <f>DailyWorkRemaining( 'Sprint Backlog'!$D$5:$D$65526, $A14, 'Sprint Backlog'!N$5:N$65526 )</f>
        <v>0</v>
      </c>
      <c r="J14" s="135">
        <f>DailyWorkRemaining( 'Sprint Backlog'!$D$5:$D$65526, $A14, 'Sprint Backlog'!O$5:O$65526 )</f>
        <v>0</v>
      </c>
      <c r="K14" s="135">
        <f>DailyWorkRemaining( 'Sprint Backlog'!$D$5:$D$65526, $A14, 'Sprint Backlog'!P$5:P$65526 )</f>
        <v>0</v>
      </c>
      <c r="L14" s="135">
        <f>DailyWorkRemaining( 'Sprint Backlog'!$D$5:$D$65526, $A14, 'Sprint Backlog'!Q$5:Q$65526 )</f>
        <v>0</v>
      </c>
      <c r="M14" s="135">
        <f>DailyWorkRemaining( 'Sprint Backlog'!$D$5:$D$65526, $A14, 'Sprint Backlog'!R$5:R$65526 )</f>
        <v>0</v>
      </c>
      <c r="N14" s="135">
        <f>DailyWorkRemaining( 'Sprint Backlog'!$D$5:$D$65526, $A14, 'Sprint Backlog'!S$5:S$65526 )</f>
        <v>0</v>
      </c>
    </row>
    <row r="15" spans="1:14" ht="13.5" thickBot="1" x14ac:dyDescent="0.25">
      <c r="A15" s="130">
        <f>Planning!$L$9</f>
        <v>0</v>
      </c>
      <c r="B15" s="131">
        <f>DailyWorkRemaining( 'Sprint Backlog'!$D$5:$D$65526, $A15, 'Sprint Backlog'!G$5:G$65526 )</f>
        <v>0</v>
      </c>
      <c r="C15" s="131">
        <f>DailyWorkRemaining( 'Sprint Backlog'!$D$5:$D$65526, $A15, 'Sprint Backlog'!H$5:H$65526 )</f>
        <v>0</v>
      </c>
      <c r="D15" s="131">
        <f>DailyWorkRemaining( 'Sprint Backlog'!$D$5:$D$65526, $A15, 'Sprint Backlog'!I$5:I$65526 )</f>
        <v>0</v>
      </c>
      <c r="E15" s="131">
        <f>DailyWorkRemaining( 'Sprint Backlog'!$D$5:$D$65526, $A15, 'Sprint Backlog'!J$5:J$65526 )</f>
        <v>0</v>
      </c>
      <c r="F15" s="131">
        <f>DailyWorkRemaining( 'Sprint Backlog'!$D$5:$D$65526, $A15, 'Sprint Backlog'!K$5:K$65526 )</f>
        <v>0</v>
      </c>
      <c r="G15" s="131">
        <f>DailyWorkRemaining( 'Sprint Backlog'!$D$5:$D$65526, $A15, 'Sprint Backlog'!L$5:L$65526 )</f>
        <v>0</v>
      </c>
      <c r="H15" s="131">
        <f>DailyWorkRemaining( 'Sprint Backlog'!$D$5:$D$65526, $A15, 'Sprint Backlog'!M$5:M$65526 )</f>
        <v>0</v>
      </c>
      <c r="I15" s="131">
        <f>DailyWorkRemaining( 'Sprint Backlog'!$D$5:$D$65526, $A15, 'Sprint Backlog'!N$5:N$65526 )</f>
        <v>0</v>
      </c>
      <c r="J15" s="131">
        <f>DailyWorkRemaining( 'Sprint Backlog'!$D$5:$D$65526, $A15, 'Sprint Backlog'!O$5:O$65526 )</f>
        <v>0</v>
      </c>
      <c r="K15" s="131">
        <f>DailyWorkRemaining( 'Sprint Backlog'!$D$5:$D$65526, $A15, 'Sprint Backlog'!P$5:P$65526 )</f>
        <v>0</v>
      </c>
      <c r="L15" s="131">
        <f>DailyWorkRemaining( 'Sprint Backlog'!$D$5:$D$65526, $A15, 'Sprint Backlog'!Q$5:Q$65526 )</f>
        <v>0</v>
      </c>
      <c r="M15" s="131">
        <f>DailyWorkRemaining( 'Sprint Backlog'!$D$5:$D$65526, $A15, 'Sprint Backlog'!R$5:R$65526 )</f>
        <v>0</v>
      </c>
      <c r="N15" s="131">
        <f>DailyWorkRemaining( 'Sprint Backlog'!$D$5:$D$65526, $A15, 'Sprint Backlog'!S$5:S$65526 )</f>
        <v>0</v>
      </c>
    </row>
    <row r="16" spans="1:14" x14ac:dyDescent="0.2">
      <c r="A16" s="136" t="s">
        <v>91</v>
      </c>
      <c r="B16" s="137">
        <f>'Sprint Backlog'!G$3</f>
        <v>117</v>
      </c>
      <c r="C16" s="137">
        <f>'Sprint Backlog'!H$3</f>
        <v>103</v>
      </c>
      <c r="D16" s="137">
        <f>'Sprint Backlog'!I$3</f>
        <v>89</v>
      </c>
      <c r="E16" s="137">
        <f>'Sprint Backlog'!J$3</f>
        <v>76</v>
      </c>
      <c r="F16" s="137">
        <f>'Sprint Backlog'!K$3</f>
        <v>65</v>
      </c>
      <c r="G16" s="137">
        <f>'Sprint Backlog'!L$3</f>
        <v>61</v>
      </c>
      <c r="H16" s="137">
        <f>'Sprint Backlog'!M$3</f>
        <v>60</v>
      </c>
      <c r="I16" s="137">
        <f>'Sprint Backlog'!N$3</f>
        <v>60</v>
      </c>
      <c r="J16" s="137">
        <f>'Sprint Backlog'!O$3</f>
        <v>54</v>
      </c>
      <c r="K16" s="137">
        <f>'Sprint Backlog'!P$3</f>
        <v>54</v>
      </c>
      <c r="L16" s="137">
        <f>'Sprint Backlog'!Q$3</f>
        <v>46</v>
      </c>
      <c r="M16" s="137">
        <f>'Sprint Backlog'!R$3</f>
        <v>40</v>
      </c>
      <c r="N16" s="137">
        <f>'Sprint Backlog'!S$3</f>
        <v>40</v>
      </c>
    </row>
    <row r="17" spans="1:14" x14ac:dyDescent="0.2">
      <c r="A17" s="138" t="s">
        <v>92</v>
      </c>
      <c r="B17" s="139">
        <v>0</v>
      </c>
      <c r="C17" s="139">
        <f t="shared" ref="C17:N17" si="3">B16-C16</f>
        <v>14</v>
      </c>
      <c r="D17" s="139">
        <f t="shared" si="3"/>
        <v>14</v>
      </c>
      <c r="E17" s="139">
        <f t="shared" si="3"/>
        <v>13</v>
      </c>
      <c r="F17" s="139">
        <f t="shared" si="3"/>
        <v>11</v>
      </c>
      <c r="G17" s="139">
        <f t="shared" si="3"/>
        <v>4</v>
      </c>
      <c r="H17" s="139">
        <f t="shared" si="3"/>
        <v>1</v>
      </c>
      <c r="I17" s="139">
        <f t="shared" si="3"/>
        <v>0</v>
      </c>
      <c r="J17" s="139">
        <f t="shared" si="3"/>
        <v>6</v>
      </c>
      <c r="K17" s="139">
        <f t="shared" si="3"/>
        <v>0</v>
      </c>
      <c r="L17" s="139">
        <f t="shared" si="3"/>
        <v>8</v>
      </c>
      <c r="M17" s="139">
        <f t="shared" si="3"/>
        <v>6</v>
      </c>
      <c r="N17" s="139">
        <f t="shared" si="3"/>
        <v>0</v>
      </c>
    </row>
    <row r="18" spans="1:14" ht="15" customHeight="1" x14ac:dyDescent="0.2">
      <c r="A18" s="123" t="s">
        <v>93</v>
      </c>
      <c r="B18" s="139">
        <f>Calculations!G$19</f>
        <v>24</v>
      </c>
      <c r="C18" s="139">
        <f>Calculations!H$19</f>
        <v>23</v>
      </c>
      <c r="D18" s="139">
        <f>Calculations!I$19</f>
        <v>23</v>
      </c>
      <c r="E18" s="139">
        <f>Calculations!J$19</f>
        <v>20</v>
      </c>
      <c r="F18" s="139">
        <f>Calculations!K$19</f>
        <v>16</v>
      </c>
      <c r="G18" s="139">
        <f>Calculations!L$19</f>
        <v>14</v>
      </c>
      <c r="H18" s="139">
        <f>Calculations!M$19</f>
        <v>14</v>
      </c>
      <c r="I18" s="139">
        <f>Calculations!N$19</f>
        <v>14</v>
      </c>
      <c r="J18" s="139">
        <f>Calculations!O$19</f>
        <v>13</v>
      </c>
      <c r="K18" s="139">
        <f>Calculations!P$19</f>
        <v>13</v>
      </c>
      <c r="L18" s="139">
        <f>Calculations!Q$19</f>
        <v>12</v>
      </c>
      <c r="M18" s="139">
        <f>Calculations!R$19</f>
        <v>10</v>
      </c>
      <c r="N18" s="139">
        <f>Calculations!S$19</f>
        <v>10</v>
      </c>
    </row>
    <row r="19" spans="1:14" ht="12" customHeight="1" x14ac:dyDescent="0.2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</row>
    <row r="20" spans="1:14" x14ac:dyDescent="0.2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</row>
    <row r="21" spans="1:14" x14ac:dyDescent="0.2">
      <c r="A21" s="141"/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</row>
    <row r="22" spans="1:14" x14ac:dyDescent="0.2">
      <c r="A22" s="141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</row>
    <row r="23" spans="1:14" x14ac:dyDescent="0.2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</row>
    <row r="24" spans="1:14" x14ac:dyDescent="0.2">
      <c r="A24" s="141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</row>
    <row r="25" spans="1:14" x14ac:dyDescent="0.2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</row>
    <row r="26" spans="1:14" x14ac:dyDescent="0.2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</row>
    <row r="27" spans="1:14" x14ac:dyDescent="0.2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</row>
    <row r="28" spans="1:14" x14ac:dyDescent="0.2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</row>
    <row r="29" spans="1:14" x14ac:dyDescent="0.2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</row>
    <row r="30" spans="1:14" x14ac:dyDescent="0.2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</row>
    <row r="31" spans="1:14" x14ac:dyDescent="0.2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</row>
    <row r="32" spans="1:14" x14ac:dyDescent="0.2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</row>
    <row r="33" spans="1:14" x14ac:dyDescent="0.2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</row>
    <row r="34" spans="1:14" x14ac:dyDescent="0.2">
      <c r="A34" s="141"/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</row>
    <row r="35" spans="1:14" x14ac:dyDescent="0.2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</row>
    <row r="36" spans="1:14" x14ac:dyDescent="0.2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</row>
    <row r="37" spans="1:14" x14ac:dyDescent="0.2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</row>
    <row r="38" spans="1:14" x14ac:dyDescent="0.2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</row>
    <row r="39" spans="1:14" x14ac:dyDescent="0.2">
      <c r="A39" s="141"/>
      <c r="B39" s="141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</row>
    <row r="40" spans="1:14" x14ac:dyDescent="0.2"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</row>
    <row r="41" spans="1:14" x14ac:dyDescent="0.2">
      <c r="A41" s="142" t="s">
        <v>94</v>
      </c>
    </row>
  </sheetData>
  <dataConsolidate/>
  <mergeCells count="1">
    <mergeCell ref="A1:N1"/>
  </mergeCells>
  <phoneticPr fontId="22" type="noConversion"/>
  <conditionalFormatting sqref="C6:E15">
    <cfRule type="expression" dxfId="10" priority="12" stopIfTrue="1">
      <formula>WEEKDAY( C$5, 3 ) &gt;= 5</formula>
    </cfRule>
  </conditionalFormatting>
  <conditionalFormatting sqref="F6:F15">
    <cfRule type="expression" dxfId="9" priority="9" stopIfTrue="1">
      <formula>WEEKDAY( F$5, 3 ) &gt;= 5</formula>
    </cfRule>
  </conditionalFormatting>
  <conditionalFormatting sqref="G6:G15">
    <cfRule type="expression" dxfId="8" priority="8" stopIfTrue="1">
      <formula>WEEKDAY( G$5, 3 ) &gt;= 5</formula>
    </cfRule>
  </conditionalFormatting>
  <conditionalFormatting sqref="H6:H15">
    <cfRule type="expression" dxfId="7" priority="7" stopIfTrue="1">
      <formula>WEEKDAY( H$5, 3 ) &gt;= 5</formula>
    </cfRule>
  </conditionalFormatting>
  <conditionalFormatting sqref="I6:I15">
    <cfRule type="expression" dxfId="6" priority="6" stopIfTrue="1">
      <formula>WEEKDAY( I$5, 3 ) &gt;= 5</formula>
    </cfRule>
  </conditionalFormatting>
  <conditionalFormatting sqref="J6:J15">
    <cfRule type="expression" dxfId="5" priority="5" stopIfTrue="1">
      <formula>WEEKDAY( J$5, 3 ) &gt;= 5</formula>
    </cfRule>
  </conditionalFormatting>
  <conditionalFormatting sqref="K6:K15">
    <cfRule type="expression" dxfId="4" priority="4" stopIfTrue="1">
      <formula>WEEKDAY( K$5, 3 ) &gt;= 5</formula>
    </cfRule>
  </conditionalFormatting>
  <conditionalFormatting sqref="L6:L15">
    <cfRule type="expression" dxfId="3" priority="3" stopIfTrue="1">
      <formula>WEEKDAY( L$5, 3 ) &gt;= 5</formula>
    </cfRule>
  </conditionalFormatting>
  <conditionalFormatting sqref="M6:M15">
    <cfRule type="expression" dxfId="2" priority="2" stopIfTrue="1">
      <formula>WEEKDAY( M$5, 3 ) &gt;= 5</formula>
    </cfRule>
  </conditionalFormatting>
  <conditionalFormatting sqref="N6:N15">
    <cfRule type="expression" dxfId="1" priority="1" stopIfTrue="1">
      <formula>WEEKDAY( N$5, 3 ) &gt;= 5</formula>
    </cfRule>
  </conditionalFormatting>
  <pageMargins left="0.37" right="0.23" top="0.4" bottom="0.56000000000000005" header="0.3" footer="0.27"/>
  <pageSetup scale="120" fitToWidth="0" fitToHeight="0" orientation="landscape" r:id="rId1"/>
  <headerFooter alignWithMargins="0">
    <oddFooter>&amp;L&amp;"Arial,Italic"&amp;8&amp;F / &amp;A&amp;R&amp;"Arial,Italic"&amp;8Snapshot as of: &amp;D /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alculationsSheet">
    <tabColor indexed="22"/>
  </sheetPr>
  <dimension ref="A1:S60"/>
  <sheetViews>
    <sheetView workbookViewId="0">
      <selection activeCell="A2" sqref="A2"/>
    </sheetView>
  </sheetViews>
  <sheetFormatPr defaultColWidth="10.7109375" defaultRowHeight="12.75" x14ac:dyDescent="0.2"/>
  <cols>
    <col min="1" max="1" width="30.7109375" style="103" customWidth="1"/>
    <col min="2" max="2" width="21.140625" style="103" customWidth="1"/>
    <col min="3" max="5" width="3.5703125" style="103" customWidth="1"/>
    <col min="6" max="6" width="31.85546875" style="103" customWidth="1"/>
    <col min="7" max="19" width="10.7109375" style="103" customWidth="1"/>
    <col min="20" max="20" width="10.7109375" customWidth="1"/>
  </cols>
  <sheetData>
    <row r="1" spans="1:19" ht="26.25" customHeight="1" x14ac:dyDescent="0.2">
      <c r="A1" s="79" t="str">
        <f>$A$46</f>
        <v>Washington Redskins - Calculations -- Embrace Reality</v>
      </c>
      <c r="B1" s="80"/>
      <c r="C1"/>
      <c r="D1" s="81"/>
      <c r="E1" s="81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19" ht="22.5" x14ac:dyDescent="0.2">
      <c r="A2" s="82"/>
      <c r="B2" s="83" t="s">
        <v>95</v>
      </c>
      <c r="C2" s="84"/>
      <c r="D2" s="81"/>
      <c r="E2" s="81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</row>
    <row r="3" spans="1:19" x14ac:dyDescent="0.2">
      <c r="A3" s="85"/>
      <c r="B3" s="84"/>
      <c r="C3" s="60"/>
      <c r="D3" s="81"/>
      <c r="E3" s="81"/>
      <c r="F3" s="61" t="s">
        <v>41</v>
      </c>
      <c r="G3" s="86" t="s">
        <v>42</v>
      </c>
      <c r="H3" s="62">
        <f>SprintStartDate</f>
        <v>42667</v>
      </c>
      <c r="I3" s="62">
        <f t="shared" ref="I3:S4" si="0">H3+1</f>
        <v>42668</v>
      </c>
      <c r="J3" s="62">
        <f t="shared" si="0"/>
        <v>42669</v>
      </c>
      <c r="K3" s="62">
        <f t="shared" si="0"/>
        <v>42670</v>
      </c>
      <c r="L3" s="62">
        <f t="shared" si="0"/>
        <v>42671</v>
      </c>
      <c r="M3" s="62">
        <f t="shared" si="0"/>
        <v>42672</v>
      </c>
      <c r="N3" s="62">
        <f t="shared" si="0"/>
        <v>42673</v>
      </c>
      <c r="O3" s="62">
        <f t="shared" si="0"/>
        <v>42674</v>
      </c>
      <c r="P3" s="62">
        <f t="shared" si="0"/>
        <v>42675</v>
      </c>
      <c r="Q3" s="62">
        <f t="shared" si="0"/>
        <v>42676</v>
      </c>
      <c r="R3" s="62">
        <f t="shared" si="0"/>
        <v>42677</v>
      </c>
      <c r="S3" s="62">
        <f t="shared" si="0"/>
        <v>42678</v>
      </c>
    </row>
    <row r="4" spans="1:19" x14ac:dyDescent="0.2">
      <c r="A4" s="61" t="s">
        <v>43</v>
      </c>
      <c r="B4" s="63">
        <v>42677</v>
      </c>
      <c r="C4" s="60"/>
      <c r="D4" s="81"/>
      <c r="E4" s="81"/>
      <c r="F4" s="61" t="s">
        <v>44</v>
      </c>
      <c r="G4" s="87">
        <v>0</v>
      </c>
      <c r="H4" s="88">
        <f>'Sprint Backlog'!H1</f>
        <v>1</v>
      </c>
      <c r="I4" s="88">
        <f t="shared" si="0"/>
        <v>2</v>
      </c>
      <c r="J4" s="88">
        <f t="shared" si="0"/>
        <v>3</v>
      </c>
      <c r="K4" s="88">
        <f t="shared" si="0"/>
        <v>4</v>
      </c>
      <c r="L4" s="88">
        <f t="shared" si="0"/>
        <v>5</v>
      </c>
      <c r="M4" s="88">
        <f t="shared" si="0"/>
        <v>6</v>
      </c>
      <c r="N4" s="88">
        <f t="shared" si="0"/>
        <v>7</v>
      </c>
      <c r="O4" s="88">
        <f t="shared" si="0"/>
        <v>8</v>
      </c>
      <c r="P4" s="88">
        <f t="shared" si="0"/>
        <v>9</v>
      </c>
      <c r="Q4" s="88">
        <f t="shared" si="0"/>
        <v>10</v>
      </c>
      <c r="R4" s="88">
        <f t="shared" si="0"/>
        <v>11</v>
      </c>
      <c r="S4" s="88">
        <f t="shared" si="0"/>
        <v>12</v>
      </c>
    </row>
    <row r="5" spans="1:19" x14ac:dyDescent="0.2">
      <c r="A5" s="61" t="s">
        <v>45</v>
      </c>
      <c r="B5" s="63">
        <f xml:space="preserve"> ( FirstCalendarDayOfSprint - 1 ) + NumberOfCalendarDaysInSprint</f>
        <v>42678</v>
      </c>
      <c r="C5" s="84"/>
      <c r="D5" s="81"/>
      <c r="E5" s="81"/>
      <c r="F5" s="61" t="s">
        <v>46</v>
      </c>
      <c r="G5" s="89">
        <v>0</v>
      </c>
      <c r="H5" s="90">
        <f t="shared" ref="H5:S5" si="1">G5 + H21</f>
        <v>1</v>
      </c>
      <c r="I5" s="90">
        <f t="shared" si="1"/>
        <v>2</v>
      </c>
      <c r="J5" s="90">
        <f t="shared" si="1"/>
        <v>3</v>
      </c>
      <c r="K5" s="90">
        <f t="shared" si="1"/>
        <v>4</v>
      </c>
      <c r="L5" s="90">
        <f t="shared" si="1"/>
        <v>5</v>
      </c>
      <c r="M5" s="90">
        <f t="shared" si="1"/>
        <v>6</v>
      </c>
      <c r="N5" s="90">
        <f t="shared" si="1"/>
        <v>6</v>
      </c>
      <c r="O5" s="90">
        <f t="shared" si="1"/>
        <v>7</v>
      </c>
      <c r="P5" s="90">
        <f t="shared" si="1"/>
        <v>8</v>
      </c>
      <c r="Q5" s="90">
        <f t="shared" si="1"/>
        <v>9</v>
      </c>
      <c r="R5" s="90">
        <f t="shared" si="1"/>
        <v>10</v>
      </c>
      <c r="S5" s="90">
        <f t="shared" si="1"/>
        <v>11</v>
      </c>
    </row>
    <row r="6" spans="1:19" x14ac:dyDescent="0.2">
      <c r="A6" s="91" t="s">
        <v>47</v>
      </c>
      <c r="B6" s="224">
        <f>ProjectedEndDate( PessimisticProjectionBurnRate, PessimisticProjectionSprintDuration )</f>
        <v>42683</v>
      </c>
      <c r="C6" s="84"/>
      <c r="D6" s="81"/>
      <c r="E6" s="81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</row>
    <row r="7" spans="1:19" x14ac:dyDescent="0.2">
      <c r="A7" s="61" t="s">
        <v>48</v>
      </c>
      <c r="B7" s="167" t="str">
        <f>ProjectedEndDate( OptimisticProjectionBurnRate, OptimisticProjectionSprintDuration )</f>
        <v>Never</v>
      </c>
      <c r="C7" s="81"/>
      <c r="D7" s="81"/>
      <c r="E7" s="81"/>
      <c r="F7" s="61" t="s">
        <v>49</v>
      </c>
      <c r="G7" s="64">
        <f>MAX( 0, 'Sprint Backlog'!G$3 )</f>
        <v>117</v>
      </c>
      <c r="H7" s="64">
        <f>MAX( 0, 'Sprint Backlog'!H$3 )</f>
        <v>103</v>
      </c>
      <c r="I7" s="64">
        <f>MAX( 0, 'Sprint Backlog'!I$3 )</f>
        <v>89</v>
      </c>
      <c r="J7" s="64">
        <f>MAX( 0, 'Sprint Backlog'!J$3 )</f>
        <v>76</v>
      </c>
      <c r="K7" s="64">
        <f>MAX( 0, 'Sprint Backlog'!K$3 )</f>
        <v>65</v>
      </c>
      <c r="L7" s="64">
        <f>MAX( 0, 'Sprint Backlog'!L$3 )</f>
        <v>61</v>
      </c>
      <c r="M7" s="64">
        <f>MAX( 0, 'Sprint Backlog'!M$3 )</f>
        <v>60</v>
      </c>
      <c r="N7" s="64">
        <f>MAX( 0, 'Sprint Backlog'!N$3 )</f>
        <v>60</v>
      </c>
      <c r="O7" s="64">
        <f>MAX( 0, 'Sprint Backlog'!O$3 )</f>
        <v>54</v>
      </c>
      <c r="P7" s="64">
        <f>MAX( 0, 'Sprint Backlog'!P$3 )</f>
        <v>54</v>
      </c>
      <c r="Q7" s="64">
        <f>MAX( 0, 'Sprint Backlog'!Q$3 )</f>
        <v>46</v>
      </c>
      <c r="R7" s="64">
        <f>MAX( 0, 'Sprint Backlog'!R$3 )</f>
        <v>40</v>
      </c>
      <c r="S7" s="64">
        <f>MAX( 0, 'Sprint Backlog'!S$3 )</f>
        <v>40</v>
      </c>
    </row>
    <row r="8" spans="1:19" x14ac:dyDescent="0.2">
      <c r="A8" s="81"/>
      <c r="B8" s="81"/>
      <c r="C8" s="81"/>
      <c r="D8" s="81"/>
      <c r="E8" s="81"/>
      <c r="F8" s="61" t="s">
        <v>50</v>
      </c>
      <c r="G8" s="65"/>
      <c r="H8" s="65">
        <f t="shared" ref="H8:S8" si="2">H7 - G7</f>
        <v>-14</v>
      </c>
      <c r="I8" s="65">
        <f t="shared" si="2"/>
        <v>-14</v>
      </c>
      <c r="J8" s="65">
        <f t="shared" si="2"/>
        <v>-13</v>
      </c>
      <c r="K8" s="65">
        <f t="shared" si="2"/>
        <v>-11</v>
      </c>
      <c r="L8" s="65">
        <f t="shared" si="2"/>
        <v>-4</v>
      </c>
      <c r="M8" s="65">
        <f t="shared" si="2"/>
        <v>-1</v>
      </c>
      <c r="N8" s="65">
        <f t="shared" si="2"/>
        <v>0</v>
      </c>
      <c r="O8" s="65">
        <f t="shared" si="2"/>
        <v>-6</v>
      </c>
      <c r="P8" s="65">
        <f t="shared" si="2"/>
        <v>0</v>
      </c>
      <c r="Q8" s="65">
        <f t="shared" si="2"/>
        <v>-8</v>
      </c>
      <c r="R8" s="65">
        <f t="shared" si="2"/>
        <v>-6</v>
      </c>
      <c r="S8" s="65">
        <f t="shared" si="2"/>
        <v>0</v>
      </c>
    </row>
    <row r="9" spans="1:19" x14ac:dyDescent="0.2">
      <c r="A9" s="61" t="s">
        <v>51</v>
      </c>
      <c r="B9" s="66" t="str">
        <f>GetProgressStatusMessage( CurrentTrendBurnRate )</f>
        <v>Progress Being Made</v>
      </c>
      <c r="C9" s="67"/>
      <c r="D9" s="81"/>
      <c r="E9" s="81"/>
      <c r="F9" s="61" t="s">
        <v>52</v>
      </c>
      <c r="G9" s="92">
        <f>$S$9</f>
        <v>-7.7</v>
      </c>
      <c r="H9" s="93">
        <f>IF( H22, ( ( H7 - TotalAssignedWork ) / H5 ), 0 )</f>
        <v>-14</v>
      </c>
      <c r="I9" s="93">
        <f t="shared" ref="I9:S9" si="3">IF( I22, ( ( I7 - TotalAssignedWork ) / I5 ), H9 )</f>
        <v>-14</v>
      </c>
      <c r="J9" s="93">
        <f t="shared" si="3"/>
        <v>-13.666666666666666</v>
      </c>
      <c r="K9" s="93">
        <f t="shared" si="3"/>
        <v>-13</v>
      </c>
      <c r="L9" s="93">
        <f t="shared" si="3"/>
        <v>-11.2</v>
      </c>
      <c r="M9" s="93">
        <f t="shared" si="3"/>
        <v>-9.5</v>
      </c>
      <c r="N9" s="93">
        <f t="shared" si="3"/>
        <v>-9.5</v>
      </c>
      <c r="O9" s="93">
        <f t="shared" si="3"/>
        <v>-9</v>
      </c>
      <c r="P9" s="93">
        <f t="shared" si="3"/>
        <v>-7.875</v>
      </c>
      <c r="Q9" s="93">
        <f t="shared" si="3"/>
        <v>-7.8888888888888893</v>
      </c>
      <c r="R9" s="93">
        <f t="shared" si="3"/>
        <v>-7.7</v>
      </c>
      <c r="S9" s="93">
        <f t="shared" si="3"/>
        <v>-7.7</v>
      </c>
    </row>
    <row r="10" spans="1:19" x14ac:dyDescent="0.2">
      <c r="A10" s="61" t="s">
        <v>53</v>
      </c>
      <c r="B10" s="68">
        <f>NumberOfCalendarDaysInSprint</f>
        <v>12</v>
      </c>
      <c r="C10" s="81"/>
      <c r="D10" s="81"/>
      <c r="E10" s="81"/>
      <c r="F10" s="61" t="s">
        <v>54</v>
      </c>
      <c r="G10" s="69">
        <f>TotalAssignedWork</f>
        <v>117</v>
      </c>
      <c r="H10" s="69">
        <f>MAX( 0, IF( $H$21, ( $G$10 + CurrentTrendBurnRate ), $G$10 ) )</f>
        <v>109.3</v>
      </c>
      <c r="I10" s="69">
        <f>MAX( 0, IF( $I$21, ( $H$10 + CurrentTrendBurnRate ), $H$10 ) )</f>
        <v>101.6</v>
      </c>
      <c r="J10" s="69">
        <f>MAX( 0, IF( $J$21, ( $I$10 + CurrentTrendBurnRate ), $I$10 ) )</f>
        <v>93.899999999999991</v>
      </c>
      <c r="K10" s="69">
        <f>MAX( 0, IF( $K$21, ( $J$10 + CurrentTrendBurnRate ), $J$10 ) )</f>
        <v>86.199999999999989</v>
      </c>
      <c r="L10" s="69">
        <f>MAX( 0, IF( $L$21, ( $K$10 + CurrentTrendBurnRate ), $K$10 ) )</f>
        <v>78.499999999999986</v>
      </c>
      <c r="M10" s="69">
        <f>MAX( 0, IF( $M$21, ( $L$10 + CurrentTrendBurnRate ), $L$10 ) )</f>
        <v>70.799999999999983</v>
      </c>
      <c r="N10" s="69">
        <f>MAX( 0, IF( $N$21, ( $M$10 + CurrentTrendBurnRate ), $M$10 ) )</f>
        <v>70.799999999999983</v>
      </c>
      <c r="O10" s="69">
        <f>MAX( 0, IF( $O$21, ( $N$10 + CurrentTrendBurnRate ), $N$10 ) )</f>
        <v>63.09999999999998</v>
      </c>
      <c r="P10" s="69">
        <f>MAX( 0, IF( $P$21, ( $O$10 + CurrentTrendBurnRate ), $O$10 ) )</f>
        <v>55.399999999999977</v>
      </c>
      <c r="Q10" s="69">
        <f>MAX( 0, IF( $Q$21, ( $P$10 + CurrentTrendBurnRate ), $P$10 ) )</f>
        <v>47.699999999999974</v>
      </c>
      <c r="R10" s="69">
        <f>MAX( 0, IF( $R$21, ( $Q$10 + CurrentTrendBurnRate ), $Q$10 ) )</f>
        <v>39.999999999999972</v>
      </c>
      <c r="S10" s="69">
        <f>MAX( 0, IF( $S$21, ( $R$10 + CurrentTrendBurnRate ), $R$10 ) )</f>
        <v>32.299999999999969</v>
      </c>
    </row>
    <row r="11" spans="1:19" x14ac:dyDescent="0.2">
      <c r="A11" s="61" t="s">
        <v>55</v>
      </c>
      <c r="B11" s="68">
        <f>COUNTIF( H21:$IW21, FALSE )</f>
        <v>1</v>
      </c>
      <c r="C11" s="60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</row>
    <row r="12" spans="1:19" x14ac:dyDescent="0.2">
      <c r="A12" s="61" t="s">
        <v>56</v>
      </c>
      <c r="B12" s="68">
        <f>COUNTIF( H21:$IW21, TRUE )</f>
        <v>11</v>
      </c>
      <c r="C12" s="60"/>
      <c r="D12" s="81"/>
      <c r="E12" s="81"/>
      <c r="F12" s="94" t="s">
        <v>57</v>
      </c>
      <c r="G12" s="64">
        <f>TotalAssignedWork</f>
        <v>117</v>
      </c>
      <c r="H12" s="95">
        <f>MAX( 0, $G$12 - SUM( Planning!$C$20:$L$20 ) )</f>
        <v>100</v>
      </c>
      <c r="I12" s="95">
        <f>MAX( 0, $H$12 - SUM( Planning!$C$21:$L$21 ) )</f>
        <v>83</v>
      </c>
      <c r="J12" s="95">
        <f>MAX( 0, $I$12 - SUM( Planning!$C$22:$L$22 ) )</f>
        <v>60</v>
      </c>
      <c r="K12" s="95">
        <f>MAX( 0, $J$12 - SUM( Planning!$C$23:$L$23 ) )</f>
        <v>42</v>
      </c>
      <c r="L12" s="95">
        <f>MAX( 0, $K$12 - SUM( Planning!$C$24:$L$24 ) )</f>
        <v>27</v>
      </c>
      <c r="M12" s="95">
        <f>MAX( 0, $L$12 - SUM( Planning!$C$25:$L$25 ) )</f>
        <v>14</v>
      </c>
      <c r="N12" s="95">
        <f>MAX( 0, $M$12 - SUM( Planning!$C$26:$L$26 ) )</f>
        <v>2</v>
      </c>
      <c r="O12" s="95">
        <f>MAX( 0, $N$12 - SUM( Planning!$C$27:$L$27 ) )</f>
        <v>0</v>
      </c>
      <c r="P12" s="95">
        <f>MAX( 0, $O$12 - SUM( Planning!$C$28:$L$28 ) )</f>
        <v>0</v>
      </c>
      <c r="Q12" s="95">
        <f>MAX( 0, $P$12 - SUM( Planning!$C$29:$L$29 ) )</f>
        <v>0</v>
      </c>
      <c r="R12" s="95">
        <f>MAX( 0, $Q$12 - SUM( Planning!$C$30:$L$30 ) )</f>
        <v>0</v>
      </c>
      <c r="S12" s="95">
        <f>MAX( 0, $R$12 - SUM( Planning!$C$31:$L$31 ) )</f>
        <v>0</v>
      </c>
    </row>
    <row r="13" spans="1:19" x14ac:dyDescent="0.2">
      <c r="A13" s="61" t="s">
        <v>58</v>
      </c>
      <c r="B13" s="70">
        <v>-16.714284896850586</v>
      </c>
      <c r="C13" s="60"/>
      <c r="D13" s="81"/>
      <c r="E13" s="81"/>
      <c r="F13" s="61" t="s">
        <v>59</v>
      </c>
      <c r="G13" s="71"/>
      <c r="H13" s="65">
        <f t="shared" ref="H13:S13" si="4">H12 - G12</f>
        <v>-17</v>
      </c>
      <c r="I13" s="65">
        <f t="shared" si="4"/>
        <v>-17</v>
      </c>
      <c r="J13" s="65">
        <f t="shared" si="4"/>
        <v>-23</v>
      </c>
      <c r="K13" s="65">
        <f t="shared" si="4"/>
        <v>-18</v>
      </c>
      <c r="L13" s="65">
        <f t="shared" si="4"/>
        <v>-15</v>
      </c>
      <c r="M13" s="65">
        <f t="shared" si="4"/>
        <v>-13</v>
      </c>
      <c r="N13" s="65">
        <f t="shared" si="4"/>
        <v>-12</v>
      </c>
      <c r="O13" s="65">
        <f t="shared" si="4"/>
        <v>-2</v>
      </c>
      <c r="P13" s="65">
        <f t="shared" si="4"/>
        <v>0</v>
      </c>
      <c r="Q13" s="65">
        <f t="shared" si="4"/>
        <v>0</v>
      </c>
      <c r="R13" s="65">
        <f t="shared" si="4"/>
        <v>0</v>
      </c>
      <c r="S13" s="65">
        <f t="shared" si="4"/>
        <v>0</v>
      </c>
    </row>
    <row r="14" spans="1:19" x14ac:dyDescent="0.2">
      <c r="A14" s="81"/>
      <c r="B14" s="81"/>
      <c r="C14" s="81"/>
      <c r="D14" s="81"/>
      <c r="E14" s="81"/>
      <c r="F14" s="61" t="s">
        <v>60</v>
      </c>
      <c r="G14" s="69">
        <f>TotalAssignedWork</f>
        <v>117</v>
      </c>
      <c r="H14" s="69">
        <f>MAX( 0, IF( $H$21, ( $G$14 + PlannedTrendBurnRate ), $G$14 ) )</f>
        <v>100.28571510314941</v>
      </c>
      <c r="I14" s="69">
        <f>MAX( 0, IF( $I$21, ( $H$14 + PlannedTrendBurnRate ), $H$14 ) )</f>
        <v>83.571430206298828</v>
      </c>
      <c r="J14" s="69">
        <f>MAX( 0, IF( $J$21, ( $I$14 + PlannedTrendBurnRate ), $I$14 ) )</f>
        <v>66.857145309448242</v>
      </c>
      <c r="K14" s="69">
        <f>MAX( 0, IF( $K$21, ( $J$14 + PlannedTrendBurnRate ), $J$14 ) )</f>
        <v>50.142860412597656</v>
      </c>
      <c r="L14" s="69">
        <f>MAX( 0, IF( $L$21, ( $K$14 + PlannedTrendBurnRate ), $K$14 ) )</f>
        <v>33.42857551574707</v>
      </c>
      <c r="M14" s="69">
        <f>MAX( 0, IF( $M$21, ( $L$14 + PlannedTrendBurnRate ), $L$14 ) )</f>
        <v>16.714290618896484</v>
      </c>
      <c r="N14" s="69">
        <f>MAX( 0, IF( $N$21, ( $M$14 + PlannedTrendBurnRate ), $M$14 ) )</f>
        <v>16.714290618896484</v>
      </c>
      <c r="O14" s="69">
        <f>MAX( 0, IF( $O$21, ( $N$14 + PlannedTrendBurnRate ), $N$14 ) )</f>
        <v>5.7220458984375E-6</v>
      </c>
      <c r="P14" s="69">
        <f>MAX( 0, IF( $P$21, ( $O$14 + PlannedTrendBurnRate ), $O$14 ) )</f>
        <v>0</v>
      </c>
      <c r="Q14" s="69">
        <f>MAX( 0, IF( $Q$21, ( $P$14 + PlannedTrendBurnRate ), $P$14 ) )</f>
        <v>0</v>
      </c>
      <c r="R14" s="69">
        <f>MAX( 0, IF( $R$21, ( $Q$14 + PlannedTrendBurnRate ), $Q$14 ) )</f>
        <v>0</v>
      </c>
      <c r="S14" s="69">
        <f>MAX( 0, IF( $S$21, ( $R$14 + PlannedTrendBurnRate ), $R$14 ) )</f>
        <v>0</v>
      </c>
    </row>
    <row r="15" spans="1:19" x14ac:dyDescent="0.2">
      <c r="A15" s="61" t="s">
        <v>61</v>
      </c>
      <c r="B15" s="96">
        <v>-7.6999998092651367</v>
      </c>
      <c r="C15" s="60"/>
      <c r="D15" s="81"/>
      <c r="E15" s="81"/>
      <c r="F15" s="81"/>
      <c r="G15" s="72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</row>
    <row r="16" spans="1:19" x14ac:dyDescent="0.2">
      <c r="A16" s="61" t="s">
        <v>62</v>
      </c>
      <c r="B16" s="68">
        <f>ExpectedEffortDuration( PessimisticProjectionBurnRate, TotalAssignedWork, CurrentDay )</f>
        <v>16</v>
      </c>
      <c r="C16" s="60"/>
      <c r="D16" s="81"/>
      <c r="E16" s="81"/>
      <c r="F16" s="94" t="s">
        <v>63</v>
      </c>
      <c r="G16" s="94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>
        <f>$R$7</f>
        <v>40</v>
      </c>
      <c r="S16" s="97">
        <f>MAX( 0, IF( $S$21, ( $R$16 + OptimisticProjectionBurnRate ), $R$16 ) )</f>
        <v>40</v>
      </c>
    </row>
    <row r="17" spans="1:19" x14ac:dyDescent="0.2">
      <c r="A17" s="61" t="s">
        <v>64</v>
      </c>
      <c r="B17" s="73">
        <f>DaysVariance( PessimisticProjectionBurnRate, NumberOfWorkingDaysInSprint, PessimisticProjectionSprintDuration )</f>
        <v>-5</v>
      </c>
      <c r="C17" s="81"/>
      <c r="D17" s="81"/>
      <c r="E17" s="81"/>
      <c r="F17" s="98" t="s">
        <v>65</v>
      </c>
      <c r="G17" s="98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>
        <f>$R$7</f>
        <v>40</v>
      </c>
      <c r="S17" s="99">
        <f>MAX( 0, IF( $S$21, ( $R$17 + PessimisticProjectionBurnRate ), $R$17 ) )</f>
        <v>32.300000190734863</v>
      </c>
    </row>
    <row r="18" spans="1:19" x14ac:dyDescent="0.2">
      <c r="A18" s="100" t="s">
        <v>66</v>
      </c>
      <c r="B18" s="101">
        <f>PercentVariance( PessimisticProjectionBurnRate, NumberOfWorkingDaysInSprint, PessimisticProjectionSprintDuration )</f>
        <v>-0.45454546809196472</v>
      </c>
      <c r="C18" s="102"/>
      <c r="D18" s="81"/>
      <c r="E18" s="81"/>
    </row>
    <row r="19" spans="1:19" x14ac:dyDescent="0.2">
      <c r="A19" s="61" t="s">
        <v>67</v>
      </c>
      <c r="B19" s="223" t="str">
        <f>ProjectedAccuracyMessage( PessimisticProjectionBurnRate, PessimisticProjectionVariancePercent )</f>
        <v>Needs Lots of Work</v>
      </c>
      <c r="C19" s="67"/>
      <c r="D19" s="81"/>
      <c r="E19" s="81"/>
      <c r="F19" s="61" t="s">
        <v>68</v>
      </c>
      <c r="G19" s="89">
        <v>24</v>
      </c>
      <c r="H19" s="89">
        <v>23</v>
      </c>
      <c r="I19" s="89">
        <v>23</v>
      </c>
      <c r="J19" s="89">
        <v>20</v>
      </c>
      <c r="K19" s="89">
        <v>16</v>
      </c>
      <c r="L19" s="89">
        <v>14</v>
      </c>
      <c r="M19" s="89">
        <v>14</v>
      </c>
      <c r="N19" s="89">
        <v>14</v>
      </c>
      <c r="O19" s="89">
        <v>13</v>
      </c>
      <c r="P19" s="89">
        <v>13</v>
      </c>
      <c r="Q19" s="89">
        <v>12</v>
      </c>
      <c r="R19" s="89">
        <v>10</v>
      </c>
      <c r="S19" s="89">
        <v>10</v>
      </c>
    </row>
    <row r="20" spans="1:19" x14ac:dyDescent="0.2">
      <c r="B20" s="104"/>
      <c r="D20" s="81"/>
      <c r="E20" s="81"/>
    </row>
    <row r="21" spans="1:19" x14ac:dyDescent="0.2">
      <c r="A21" s="61" t="s">
        <v>69</v>
      </c>
      <c r="B21" s="105">
        <v>0</v>
      </c>
      <c r="C21" s="74"/>
      <c r="D21" s="81"/>
      <c r="E21" s="81"/>
      <c r="F21" s="61" t="s">
        <v>70</v>
      </c>
      <c r="G21" s="75">
        <f>COUNTIF( H21:$IW21, TRUE )</f>
        <v>11</v>
      </c>
      <c r="H21" s="81" t="b">
        <f>IsDayPartOfSprint( $H$3 )</f>
        <v>1</v>
      </c>
      <c r="I21" s="81" t="b">
        <f>IsDayPartOfSprint( $I$3 )</f>
        <v>1</v>
      </c>
      <c r="J21" s="81" t="b">
        <f>IsDayPartOfSprint( $J$3 )</f>
        <v>1</v>
      </c>
      <c r="K21" s="81" t="b">
        <f>IsDayPartOfSprint( $K$3 )</f>
        <v>1</v>
      </c>
      <c r="L21" s="81" t="b">
        <f>IsDayPartOfSprint( $L$3 )</f>
        <v>1</v>
      </c>
      <c r="M21" s="81" t="b">
        <f>IsDayPartOfSprint( $M$3 )</f>
        <v>1</v>
      </c>
      <c r="N21" s="81" t="b">
        <f>IsDayPartOfSprint( $N$3 )</f>
        <v>0</v>
      </c>
      <c r="O21" s="81" t="b">
        <f>IsDayPartOfSprint( $O$3 )</f>
        <v>1</v>
      </c>
      <c r="P21" s="81" t="b">
        <f>IsDayPartOfSprint( $P$3 )</f>
        <v>1</v>
      </c>
      <c r="Q21" s="81" t="b">
        <f>IsDayPartOfSprint( $Q$3 )</f>
        <v>1</v>
      </c>
      <c r="R21" s="81" t="b">
        <f>IsDayPartOfSprint( $R$3 )</f>
        <v>1</v>
      </c>
      <c r="S21" s="81" t="b">
        <f>IsDayPartOfSprint( $S$3 )</f>
        <v>1</v>
      </c>
    </row>
    <row r="22" spans="1:19" x14ac:dyDescent="0.2">
      <c r="A22" s="61" t="s">
        <v>62</v>
      </c>
      <c r="B22" s="68" t="str">
        <f>ExpectedEffortDuration( OptimisticProjectionBurnRate, TotalAssignedWork, CurrentDay )</f>
        <v>Infinite</v>
      </c>
      <c r="D22" s="81"/>
      <c r="E22" s="81"/>
      <c r="F22" s="76" t="s">
        <v>71</v>
      </c>
      <c r="G22" s="71">
        <f>COUNTIF( H22:$IW22, TRUE )</f>
        <v>10</v>
      </c>
      <c r="H22" s="71" t="b">
        <f>ShouldDayBeCountedInCalculations( $H$3 )</f>
        <v>1</v>
      </c>
      <c r="I22" s="71" t="b">
        <f>ShouldDayBeCountedInCalculations( $I$3 )</f>
        <v>1</v>
      </c>
      <c r="J22" s="71" t="b">
        <f>ShouldDayBeCountedInCalculations( $J$3 )</f>
        <v>1</v>
      </c>
      <c r="K22" s="71" t="b">
        <f>ShouldDayBeCountedInCalculations( $K$3 )</f>
        <v>1</v>
      </c>
      <c r="L22" s="71" t="b">
        <f>ShouldDayBeCountedInCalculations( $L$3 )</f>
        <v>1</v>
      </c>
      <c r="M22" s="71" t="b">
        <f>ShouldDayBeCountedInCalculations( $M$3 )</f>
        <v>1</v>
      </c>
      <c r="N22" s="71" t="b">
        <f>ShouldDayBeCountedInCalculations( $N$3 )</f>
        <v>0</v>
      </c>
      <c r="O22" s="71" t="b">
        <f>ShouldDayBeCountedInCalculations( $O$3 )</f>
        <v>1</v>
      </c>
      <c r="P22" s="71" t="b">
        <f>ShouldDayBeCountedInCalculations( $P$3 )</f>
        <v>1</v>
      </c>
      <c r="Q22" s="71" t="b">
        <f>ShouldDayBeCountedInCalculations( $Q$3 )</f>
        <v>1</v>
      </c>
      <c r="R22" s="71" t="b">
        <f>ShouldDayBeCountedInCalculations( $R$3 )</f>
        <v>1</v>
      </c>
      <c r="S22" s="71" t="b">
        <f>ShouldDayBeCountedInCalculations( $S$3 )</f>
        <v>0</v>
      </c>
    </row>
    <row r="23" spans="1:19" x14ac:dyDescent="0.2">
      <c r="A23" s="61" t="s">
        <v>64</v>
      </c>
      <c r="B23" s="73" t="str">
        <f>DaysVariance( OptimisticProjectionBurnRate, NumberOfWorkingDaysInSprint, OptimisticProjectionSprintDuration )</f>
        <v>Infinite</v>
      </c>
      <c r="D23" s="81"/>
      <c r="E23" s="81"/>
    </row>
    <row r="24" spans="1:19" x14ac:dyDescent="0.2">
      <c r="A24" s="100" t="s">
        <v>66</v>
      </c>
      <c r="B24" s="101" t="str">
        <f>PercentVariance( OptimisticProjectionBurnRate, NumberOfWorkingDaysInSprint, OptimisticProjectionSprintDuration )</f>
        <v>Infinite</v>
      </c>
      <c r="D24" s="81"/>
      <c r="E24" s="81"/>
      <c r="F24" s="81"/>
    </row>
    <row r="25" spans="1:19" x14ac:dyDescent="0.2">
      <c r="A25" s="61" t="s">
        <v>67</v>
      </c>
      <c r="B25" s="166" t="str">
        <f>ProjectedAccuracyMessage( OptimisticProjectionBurnRate, OptimisticProjectionVariancePercent )</f>
        <v>Re-asses the sprint</v>
      </c>
      <c r="D25" s="81"/>
      <c r="E25" s="81"/>
      <c r="F25" s="81"/>
    </row>
    <row r="26" spans="1:19" x14ac:dyDescent="0.2">
      <c r="D26" s="81"/>
      <c r="E26" s="81"/>
      <c r="F26" s="106"/>
    </row>
    <row r="27" spans="1:19" x14ac:dyDescent="0.2">
      <c r="A27" s="77" t="s">
        <v>72</v>
      </c>
      <c r="B27" s="60"/>
      <c r="C27" s="60"/>
      <c r="D27" s="81"/>
      <c r="E27" s="81"/>
      <c r="F27" s="81"/>
    </row>
    <row r="28" spans="1:19" x14ac:dyDescent="0.2">
      <c r="A28" s="77" t="s">
        <v>73</v>
      </c>
      <c r="B28" s="77" t="str">
        <f xml:space="preserve"> "b = " &amp; TotalAssignedWork</f>
        <v>b = 117</v>
      </c>
      <c r="D28" s="81"/>
      <c r="E28" s="81"/>
      <c r="F28" s="81"/>
    </row>
    <row r="29" spans="1:19" x14ac:dyDescent="0.2">
      <c r="A29" s="77" t="s">
        <v>74</v>
      </c>
      <c r="B29" s="61" t="str">
        <f xml:space="preserve"> "m = " &amp; FIXED( CurrentTrendBurnRate, 2 )</f>
        <v>m = -7.70</v>
      </c>
      <c r="D29" s="81"/>
      <c r="E29" s="81"/>
      <c r="F29" s="81"/>
    </row>
    <row r="30" spans="1:19" x14ac:dyDescent="0.2">
      <c r="A30" s="77" t="s">
        <v>75</v>
      </c>
      <c r="B30" s="78" t="s">
        <v>76</v>
      </c>
      <c r="D30" s="81"/>
      <c r="E30" s="81"/>
      <c r="F30" s="81"/>
    </row>
    <row r="31" spans="1:19" x14ac:dyDescent="0.2">
      <c r="A31" s="61" t="str">
        <f xml:space="preserve"> "x = " &amp; -TotalAssignedWork &amp; " / " &amp; FIXED( CurrentTrendBurnRate, 2 )</f>
        <v>x = -117 / -7.70</v>
      </c>
      <c r="B31" s="60"/>
      <c r="D31" s="81"/>
      <c r="E31" s="81"/>
      <c r="F31" s="81"/>
    </row>
    <row r="32" spans="1:19" x14ac:dyDescent="0.2">
      <c r="A32" s="61" t="str">
        <f xml:space="preserve"> "x = " &amp; IF( CurrentTrendBurnRate = 0, "undefined", FIXED( ( -TotalAssignedWork / CurrentTrendBurnRate ),  2 ) )</f>
        <v>x = 15.19</v>
      </c>
      <c r="B32" s="76" t="str">
        <f>"RoundUp( x ) = " &amp; IF( CurrentTrendBurnRate = 0, "undefined", ROUNDUP( FIXED( ( -TotalAssignedWork / CurrentTrendBurnRate ), 2 ), 0 ) )</f>
        <v>RoundUp( x ) = 16</v>
      </c>
      <c r="D32" s="81"/>
      <c r="E32" s="81"/>
      <c r="F32" s="81"/>
    </row>
    <row r="33" spans="1:6" x14ac:dyDescent="0.2">
      <c r="C33" s="60"/>
      <c r="D33" s="81"/>
      <c r="E33" s="81"/>
      <c r="F33" s="81"/>
    </row>
    <row r="34" spans="1:6" x14ac:dyDescent="0.2">
      <c r="A34" s="221" t="s">
        <v>77</v>
      </c>
      <c r="B34" s="221"/>
      <c r="C34" s="60"/>
      <c r="D34" s="81"/>
      <c r="E34" s="81"/>
      <c r="F34" s="81"/>
    </row>
    <row r="35" spans="1:6" x14ac:dyDescent="0.2">
      <c r="A35" s="107" t="s">
        <v>78</v>
      </c>
      <c r="B35" s="107" t="s">
        <v>79</v>
      </c>
      <c r="C35" s="60"/>
      <c r="D35" s="81"/>
      <c r="E35" s="81"/>
      <c r="F35" s="81"/>
    </row>
    <row r="36" spans="1:6" x14ac:dyDescent="0.2">
      <c r="A36" s="108" t="s">
        <v>80</v>
      </c>
      <c r="B36" s="108">
        <f>2^32</f>
        <v>4294967296</v>
      </c>
      <c r="C36" s="60"/>
      <c r="D36" s="81"/>
      <c r="E36" s="81"/>
      <c r="F36" s="81"/>
    </row>
    <row r="37" spans="1:6" x14ac:dyDescent="0.2">
      <c r="A37" s="109" t="s">
        <v>81</v>
      </c>
      <c r="B37" s="110">
        <v>0.5</v>
      </c>
      <c r="C37" s="60"/>
      <c r="D37" s="81"/>
      <c r="E37" s="81"/>
      <c r="F37" s="81"/>
    </row>
    <row r="38" spans="1:6" x14ac:dyDescent="0.2">
      <c r="A38" s="111" t="s">
        <v>82</v>
      </c>
      <c r="B38" s="112">
        <v>0.25</v>
      </c>
      <c r="C38" s="60"/>
      <c r="D38" s="81"/>
      <c r="E38" s="81"/>
      <c r="F38" s="81"/>
    </row>
    <row r="39" spans="1:6" x14ac:dyDescent="0.2">
      <c r="A39" s="113" t="s">
        <v>83</v>
      </c>
      <c r="B39" s="114">
        <v>0.1</v>
      </c>
      <c r="C39" s="60"/>
      <c r="D39" s="81"/>
      <c r="E39" s="81"/>
      <c r="F39" s="81"/>
    </row>
    <row r="40" spans="1:6" x14ac:dyDescent="0.2">
      <c r="A40" s="115"/>
      <c r="B40" s="115"/>
      <c r="C40"/>
      <c r="D40" s="81"/>
      <c r="E40" s="81"/>
      <c r="F40" s="81"/>
    </row>
    <row r="41" spans="1:6" x14ac:dyDescent="0.2">
      <c r="A41" s="222" t="s">
        <v>84</v>
      </c>
      <c r="B41" s="222"/>
      <c r="C41"/>
      <c r="D41" s="81"/>
      <c r="E41" s="81"/>
      <c r="F41" s="81"/>
    </row>
    <row r="42" spans="1:6" x14ac:dyDescent="0.2">
      <c r="A42" s="116" t="str">
        <f>Planning!$A$5 &amp; "
Planning Worksheet -- Embrace Reality"</f>
        <v>Washington Redskins
Planning Worksheet -- Embrace Reality</v>
      </c>
      <c r="B42" s="81"/>
      <c r="C42"/>
      <c r="D42" s="81"/>
      <c r="E42" s="81"/>
      <c r="F42" s="81"/>
    </row>
    <row r="43" spans="1:6" x14ac:dyDescent="0.2">
      <c r="A43" s="116" t="str">
        <f>Planning!$A$5 &amp; "
Sprint Backlog -- Embrace Reality"</f>
        <v>Washington Redskins
Sprint Backlog -- Embrace Reality</v>
      </c>
      <c r="B43" s="81"/>
      <c r="C43"/>
      <c r="D43" s="81"/>
      <c r="E43" s="81"/>
      <c r="F43" s="81"/>
    </row>
    <row r="44" spans="1:6" x14ac:dyDescent="0.2">
      <c r="A44" s="116" t="str">
        <f>Planning!$A$5 &amp; "
Team Burndown Chart -- Embrace Reality"</f>
        <v>Washington Redskins
Team Burndown Chart -- Embrace Reality</v>
      </c>
      <c r="B44" s="81"/>
      <c r="C44"/>
      <c r="D44" s="81"/>
      <c r="E44" s="81"/>
      <c r="F44" s="94"/>
    </row>
    <row r="45" spans="1:6" x14ac:dyDescent="0.2">
      <c r="A45" s="116" t="str">
        <f>Planning!$A$5 &amp; "
Team Member Burndown Chart -- Embrace Reality"</f>
        <v>Washington Redskins
Team Member Burndown Chart -- Embrace Reality</v>
      </c>
      <c r="B45" s="81"/>
      <c r="C45"/>
      <c r="D45" s="81"/>
      <c r="E45" s="81"/>
      <c r="F45" s="81"/>
    </row>
    <row r="46" spans="1:6" x14ac:dyDescent="0.2">
      <c r="A46" s="117" t="str">
        <f>Planning!$A$5 &amp; " - Calculations -- Embrace Reality"</f>
        <v>Washington Redskins - Calculations -- Embrace Reality</v>
      </c>
      <c r="B46" s="117"/>
      <c r="C46"/>
      <c r="D46" s="81"/>
      <c r="E46" s="81"/>
    </row>
    <row r="47" spans="1:6" x14ac:dyDescent="0.2">
      <c r="C47"/>
    </row>
    <row r="48" spans="1:6" x14ac:dyDescent="0.2">
      <c r="A48" s="103" t="s">
        <v>85</v>
      </c>
      <c r="B48" s="118">
        <v>0.15</v>
      </c>
      <c r="C48"/>
    </row>
    <row r="49" spans="1:3" x14ac:dyDescent="0.2">
      <c r="A49" s="103" t="s">
        <v>86</v>
      </c>
      <c r="B49" s="103">
        <v>0</v>
      </c>
      <c r="C49"/>
    </row>
    <row r="50" spans="1:3" x14ac:dyDescent="0.2">
      <c r="C50"/>
    </row>
    <row r="51" spans="1:3" x14ac:dyDescent="0.2">
      <c r="A51"/>
      <c r="B51"/>
      <c r="C51"/>
    </row>
    <row r="52" spans="1:3" x14ac:dyDescent="0.2">
      <c r="A52"/>
      <c r="B52"/>
      <c r="C52"/>
    </row>
    <row r="53" spans="1:3" x14ac:dyDescent="0.2">
      <c r="C53"/>
    </row>
    <row r="54" spans="1:3" x14ac:dyDescent="0.2">
      <c r="C54"/>
    </row>
    <row r="55" spans="1:3" x14ac:dyDescent="0.2">
      <c r="C55"/>
    </row>
    <row r="56" spans="1:3" x14ac:dyDescent="0.2">
      <c r="C56"/>
    </row>
    <row r="57" spans="1:3" x14ac:dyDescent="0.2">
      <c r="C57"/>
    </row>
    <row r="60" spans="1:3" ht="146.25" x14ac:dyDescent="0.2">
      <c r="A60" s="119" t="s">
        <v>87</v>
      </c>
    </row>
  </sheetData>
  <dataConsolidate/>
  <mergeCells count="2">
    <mergeCell ref="A34:B34"/>
    <mergeCell ref="A41:B41"/>
  </mergeCells>
  <phoneticPr fontId="22" type="noConversion"/>
  <conditionalFormatting sqref="H1:S1048576">
    <cfRule type="expression" dxfId="0" priority="1" stopIfTrue="1">
      <formula>WEEKDAY( H$3, 3 ) &gt;= 5</formula>
    </cfRule>
  </conditionalFormatting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C728943448CB14CAA5675FAA8A5A946" ma:contentTypeVersion="0" ma:contentTypeDescription="Create a new document." ma:contentTypeScope="" ma:versionID="f4ee33470bb6388373383706b8350b2c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5830370-D912-41B9-BA1A-6ABD12C4533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545DA90-1E71-4B18-A7E2-4445D3EF86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9356D5-8FE1-416A-8399-C988985E8A41}">
  <ds:schemaRefs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Planning</vt:lpstr>
      <vt:lpstr>Sprint Backlog</vt:lpstr>
      <vt:lpstr>Team Member Burndown</vt:lpstr>
      <vt:lpstr>Calculations</vt:lpstr>
      <vt:lpstr>Team Burndown</vt:lpstr>
      <vt:lpstr>ActualTrendSeriesData</vt:lpstr>
      <vt:lpstr>CurrentDateForCalculations</vt:lpstr>
      <vt:lpstr>CurrentDay</vt:lpstr>
      <vt:lpstr>CurrentTrendBurnRate</vt:lpstr>
      <vt:lpstr>DatesSeriesData</vt:lpstr>
      <vt:lpstr>EffortRemainingSeriesData</vt:lpstr>
      <vt:lpstr>FirstCalendarDayOfSprint</vt:lpstr>
      <vt:lpstr>IndividualBurndownChartNoteCell</vt:lpstr>
      <vt:lpstr>IndividualBurndownChartTopLeftCell</vt:lpstr>
      <vt:lpstr>IndividualBurndownSeries1</vt:lpstr>
      <vt:lpstr>IndividualBurndownSeries10</vt:lpstr>
      <vt:lpstr>IndividualBurndownSeries2</vt:lpstr>
      <vt:lpstr>IndividualBurndownSeries3</vt:lpstr>
      <vt:lpstr>IndividualBurndownSeries4</vt:lpstr>
      <vt:lpstr>IndividualBurndownSeries5</vt:lpstr>
      <vt:lpstr>IndividualBurndownSeries6</vt:lpstr>
      <vt:lpstr>IndividualBurndownSeries7</vt:lpstr>
      <vt:lpstr>IndividualBurndownSeries8</vt:lpstr>
      <vt:lpstr>IndividualBurndownSeries9</vt:lpstr>
      <vt:lpstr>IndividualBurndownTeamSlots</vt:lpstr>
      <vt:lpstr>LastSprintDayCalculations</vt:lpstr>
      <vt:lpstr>LastSprintDayIndividualBurndown</vt:lpstr>
      <vt:lpstr>LastSprintDaySprintBacklog</vt:lpstr>
      <vt:lpstr>Calculations!NumberOfCalendarDaysInSprint</vt:lpstr>
      <vt:lpstr>'Team Member Burndown'!NumberOfCalendarDaysInSprint</vt:lpstr>
      <vt:lpstr>NumberOfCalendarDaysInSprint</vt:lpstr>
      <vt:lpstr>NumberOfNonWorkingDaysInSprint</vt:lpstr>
      <vt:lpstr>'Team Member Burndown'!NumberOfWorkHoursInDay</vt:lpstr>
      <vt:lpstr>NumberOfWorkHoursInDay</vt:lpstr>
      <vt:lpstr>Calculations!NumberOfWorkingDaysInSprint</vt:lpstr>
      <vt:lpstr>NumberOfWorkingDaysInSprint</vt:lpstr>
      <vt:lpstr>OptimalBurndownPathSeriesData</vt:lpstr>
      <vt:lpstr>OptimalBurndownPathTrendSeriesData</vt:lpstr>
      <vt:lpstr>OptimisticProjectionAccuracyMessage</vt:lpstr>
      <vt:lpstr>OptimisticProjectionBurnRate</vt:lpstr>
      <vt:lpstr>OptimisticProjectionEndDate</vt:lpstr>
      <vt:lpstr>OptimisticProjectionSeriesData</vt:lpstr>
      <vt:lpstr>OptimisticProjectionSprintDuration</vt:lpstr>
      <vt:lpstr>OptimisticProjectionVarianceDays</vt:lpstr>
      <vt:lpstr>OptimisticProjectionVariancePercent</vt:lpstr>
      <vt:lpstr>PessimisticProjectionAccuracyMessage</vt:lpstr>
      <vt:lpstr>PessimisticProjectionBurnRate</vt:lpstr>
      <vt:lpstr>PessimisticProjectionEndDate</vt:lpstr>
      <vt:lpstr>PessimisticProjectionSeriesData</vt:lpstr>
      <vt:lpstr>PessimisticProjectionSprintDuration</vt:lpstr>
      <vt:lpstr>PessimisticProjectionVarianceDays</vt:lpstr>
      <vt:lpstr>PessimisticProjectionVariancePercent</vt:lpstr>
      <vt:lpstr>PlannedEndDate</vt:lpstr>
      <vt:lpstr>PlannedTrendBurnRate</vt:lpstr>
      <vt:lpstr>'Sprint Backlog'!Print_Titles</vt:lpstr>
      <vt:lpstr>ProgressStatusMessage</vt:lpstr>
      <vt:lpstr>ProjectionsMinPercentageCompletion</vt:lpstr>
      <vt:lpstr>ProjectionsMinWorkDayCompletion</vt:lpstr>
      <vt:lpstr>SprintBacklogAllBurndownEnteredForCurrentDay</vt:lpstr>
      <vt:lpstr>SprintBacklogUseDropDownListForTaskOwners</vt:lpstr>
      <vt:lpstr>Calculations!SprintStartDate</vt:lpstr>
      <vt:lpstr>'Sprint Backlog'!SprintStartDate</vt:lpstr>
      <vt:lpstr>'Team Member Burndown'!SprintStartDate</vt:lpstr>
      <vt:lpstr>SprintStartDate</vt:lpstr>
      <vt:lpstr>TasksRemainingSeriesData</vt:lpstr>
      <vt:lpstr>TeamMembersAvailability</vt:lpstr>
      <vt:lpstr>'Sprint Backlog'!TeamMembersInitials</vt:lpstr>
      <vt:lpstr>TeamMembersInitials</vt:lpstr>
      <vt:lpstr>TeamSlots</vt:lpstr>
      <vt:lpstr>TotalAssignedWork</vt:lpstr>
      <vt:lpstr>WorksheetTitleCalculations</vt:lpstr>
      <vt:lpstr>Calculations!WorksheetTitlePlanning</vt:lpstr>
      <vt:lpstr>WorksheetTitlePlanning</vt:lpstr>
      <vt:lpstr>WorksheetTitleSprintBacklog</vt:lpstr>
      <vt:lpstr>WorksheetTitleTeamBurndown</vt:lpstr>
      <vt:lpstr>WorksheetTitleTeamMemberBurndown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dstewart</dc:creator>
  <cp:lastModifiedBy>Test</cp:lastModifiedBy>
  <dcterms:created xsi:type="dcterms:W3CDTF">1996-10-14T23:33:28Z</dcterms:created>
  <dcterms:modified xsi:type="dcterms:W3CDTF">2016-11-04T15:49:17Z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0x010100CC728943448CB14CAA5675FAA8A5A946</vt:lpwstr>
  </property>
  <property fmtid="{D5CDD505-2E9C-101B-9397-08002B2CF9AE}" pid="3" name="WorkbookGuid">
    <vt:lpwstr>fa961c4f-d06b-4489-a08c-9e2abe8777a2</vt:lpwstr>
  </property>
</Properties>
</file>